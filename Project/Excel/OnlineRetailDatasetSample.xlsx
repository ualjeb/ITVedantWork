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Templates\ITVedant\"/>
    </mc:Choice>
  </mc:AlternateContent>
  <xr:revisionPtr revIDLastSave="0" documentId="13_ncr:1_{CE604FBD-E563-4E8F-AEBF-164DFC6B65AC}" xr6:coauthVersionLast="47" xr6:coauthVersionMax="47" xr10:uidLastSave="{00000000-0000-0000-0000-000000000000}"/>
  <bookViews>
    <workbookView xWindow="-108" yWindow="-108" windowWidth="23256" windowHeight="12456" activeTab="2" xr2:uid="{796E9D62-18ED-4984-9017-94C2F0E50326}"/>
  </bookViews>
  <sheets>
    <sheet name="Online-Retail-Dataset" sheetId="2" r:id="rId1"/>
    <sheet name="Pivot-Tables" sheetId="1" r:id="rId2"/>
    <sheet name="Dashboard" sheetId="6" r:id="rId3"/>
  </sheets>
  <definedNames>
    <definedName name="Slicer_Country">#N/A</definedName>
    <definedName name="Slicer_Description">#N/A</definedName>
    <definedName name="Slicer_Months__Invoice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 i="2" l="1"/>
  <c r="L11" i="2"/>
  <c r="L10" i="2"/>
  <c r="L9" i="2"/>
  <c r="L6" i="2"/>
  <c r="L5"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L7" i="2" l="1"/>
  <c r="L8" i="2"/>
</calcChain>
</file>

<file path=xl/sharedStrings.xml><?xml version="1.0" encoding="utf-8"?>
<sst xmlns="http://schemas.openxmlformats.org/spreadsheetml/2006/main" count="866" uniqueCount="387">
  <si>
    <t>InvoiceNo</t>
  </si>
  <si>
    <t>StockCode</t>
  </si>
  <si>
    <t>Description</t>
  </si>
  <si>
    <t>Quantity</t>
  </si>
  <si>
    <t>InvoiceDate</t>
  </si>
  <si>
    <t>UnitPrice</t>
  </si>
  <si>
    <t>CustomerID</t>
  </si>
  <si>
    <t>Country</t>
  </si>
  <si>
    <t>536365</t>
  </si>
  <si>
    <t>85123A</t>
  </si>
  <si>
    <t>WHITE HANGING HEART T-LIGHT HOLDER</t>
  </si>
  <si>
    <t>United Kingdom</t>
  </si>
  <si>
    <t>71053</t>
  </si>
  <si>
    <t>WHITE METAL LANTERN</t>
  </si>
  <si>
    <t>84406B</t>
  </si>
  <si>
    <t>CREAM CUPID HEARTS COAT HANGER</t>
  </si>
  <si>
    <t>84029G</t>
  </si>
  <si>
    <t>KNITTED UNION FLAG HOT WATER BOTTLE</t>
  </si>
  <si>
    <t>84879</t>
  </si>
  <si>
    <t>ASSORTED COLOUR BIRD ORNAMENT</t>
  </si>
  <si>
    <t>22960</t>
  </si>
  <si>
    <t>JAM MAKING SET WITH JARS</t>
  </si>
  <si>
    <t>536370</t>
  </si>
  <si>
    <t>22728</t>
  </si>
  <si>
    <t>ALARM CLOCK BAKELIKE PINK</t>
  </si>
  <si>
    <t>France</t>
  </si>
  <si>
    <t>22727</t>
  </si>
  <si>
    <t xml:space="preserve">ALARM CLOCK BAKELIKE RED </t>
  </si>
  <si>
    <t>22726</t>
  </si>
  <si>
    <t>ALARM CLOCK BAKELIKE GREEN</t>
  </si>
  <si>
    <t>21724</t>
  </si>
  <si>
    <t>PANDA AND BUNNIES STICKER SHEET</t>
  </si>
  <si>
    <t>21791</t>
  </si>
  <si>
    <t xml:space="preserve">VINTAGE HEADS AND TAILS CARD GAME </t>
  </si>
  <si>
    <t>22326</t>
  </si>
  <si>
    <t xml:space="preserve">ROUND SNACK BOXES SET OF4 WOODLAND </t>
  </si>
  <si>
    <t>21731</t>
  </si>
  <si>
    <t>RED TOADSTOOL LED NIGHT LIGHT</t>
  </si>
  <si>
    <t>POST</t>
  </si>
  <si>
    <t>POSTAGE</t>
  </si>
  <si>
    <t>21733</t>
  </si>
  <si>
    <t>RED HANGING HEART T-LIGHT HOLDER</t>
  </si>
  <si>
    <t>21212</t>
  </si>
  <si>
    <t>PACK OF 72 RETROSPOT CAKE CASES</t>
  </si>
  <si>
    <t>21977</t>
  </si>
  <si>
    <t>PACK OF 60 PINK PAISLEY CAKE CASES</t>
  </si>
  <si>
    <t>84991</t>
  </si>
  <si>
    <t>60 TEATIME FAIRY CAKE CASES</t>
  </si>
  <si>
    <t>85183B</t>
  </si>
  <si>
    <t>CHARLIE &amp; LOLA WASTEPAPER BIN FLORA</t>
  </si>
  <si>
    <t>21169</t>
  </si>
  <si>
    <t xml:space="preserve">YOU'RE CONFUSING ME METAL SIGN </t>
  </si>
  <si>
    <t>15056BL</t>
  </si>
  <si>
    <t>EDWARDIAN PARASOL BLACK</t>
  </si>
  <si>
    <t>21523</t>
  </si>
  <si>
    <t>DOORMAT FANCY FONT HOME SWEET HOME</t>
  </si>
  <si>
    <t>21912</t>
  </si>
  <si>
    <t>VINTAGE SNAKES &amp; LADDERS</t>
  </si>
  <si>
    <t>22839</t>
  </si>
  <si>
    <t>3 TIER CAKE TIN GREEN AND CREAM</t>
  </si>
  <si>
    <t>35004C</t>
  </si>
  <si>
    <t>SET OF 3 COLOURED  FLYING DUCKS</t>
  </si>
  <si>
    <t>84755</t>
  </si>
  <si>
    <t>COLOUR GLASS T-LIGHT HOLDER HANGING</t>
  </si>
  <si>
    <t>22457</t>
  </si>
  <si>
    <t xml:space="preserve">NATURAL SLATE HEART CHALKBOARD </t>
  </si>
  <si>
    <t>22779</t>
  </si>
  <si>
    <t xml:space="preserve">WOODEN OWLS LIGHT GARLAND </t>
  </si>
  <si>
    <t>22915</t>
  </si>
  <si>
    <t xml:space="preserve">ASSORTED BOTTLE TOP  MAGNETS </t>
  </si>
  <si>
    <t>22242</t>
  </si>
  <si>
    <t>5 HOOK HANGER MAGIC TOADSTOOL</t>
  </si>
  <si>
    <t>536389</t>
  </si>
  <si>
    <t>22941</t>
  </si>
  <si>
    <t>CHRISTMAS LIGHTS 10 REINDEER</t>
  </si>
  <si>
    <t>Australia</t>
  </si>
  <si>
    <t>21622</t>
  </si>
  <si>
    <t>VINTAGE UNION JACK CUSHION COVER</t>
  </si>
  <si>
    <t>35004G</t>
  </si>
  <si>
    <t>SET OF 3 GOLD FLYING DUCKS</t>
  </si>
  <si>
    <t>22962</t>
  </si>
  <si>
    <t>JAM JAR WITH PINK LID</t>
  </si>
  <si>
    <t>22968</t>
  </si>
  <si>
    <t xml:space="preserve">ROSE COTTAGE KEEPSAKE BOX </t>
  </si>
  <si>
    <t>21485</t>
  </si>
  <si>
    <t>RETROSPOT HEART HOT WATER BOTTLE</t>
  </si>
  <si>
    <t>21506</t>
  </si>
  <si>
    <t xml:space="preserve">FANCY FONT BIRTHDAY CARD, </t>
  </si>
  <si>
    <t>22867</t>
  </si>
  <si>
    <t>HAND WARMER BIRD DESIGN</t>
  </si>
  <si>
    <t>21232</t>
  </si>
  <si>
    <t>STRAWBERRY CERAMIC TRINKET BOX</t>
  </si>
  <si>
    <t>85150</t>
  </si>
  <si>
    <t>LADIES &amp; GENTLEMEN METAL SIGN</t>
  </si>
  <si>
    <t>22809</t>
  </si>
  <si>
    <t>SET OF 6 T-LIGHTS SANTA</t>
  </si>
  <si>
    <t>22384</t>
  </si>
  <si>
    <t>LUNCH BAG PINK POLKADOT</t>
  </si>
  <si>
    <t>536403</t>
  </si>
  <si>
    <t>Netherlands</t>
  </si>
  <si>
    <t>21126</t>
  </si>
  <si>
    <t>SET OF 6 GIRLS CELEBRATION CANDLES</t>
  </si>
  <si>
    <t>21213</t>
  </si>
  <si>
    <t>PACK OF 72 SKULL CAKE CASES</t>
  </si>
  <si>
    <t>84992</t>
  </si>
  <si>
    <t>72 SWEETHEART FAIRY CAKE CASES</t>
  </si>
  <si>
    <t>22383</t>
  </si>
  <si>
    <t xml:space="preserve">LUNCH BAG SUKI  DESIGN </t>
  </si>
  <si>
    <t>20728</t>
  </si>
  <si>
    <t>LUNCH BAG CARS BLUE</t>
  </si>
  <si>
    <t>20727</t>
  </si>
  <si>
    <t>LUNCH BAG  BLACK SKULL.</t>
  </si>
  <si>
    <t>21915</t>
  </si>
  <si>
    <t xml:space="preserve">RED  HARMONICA IN BOX </t>
  </si>
  <si>
    <t>21914</t>
  </si>
  <si>
    <t xml:space="preserve">BLUE HARMONICA IN BOX </t>
  </si>
  <si>
    <t>84375</t>
  </si>
  <si>
    <t>SET OF 20 KIDS COOKIE CUTTERS</t>
  </si>
  <si>
    <t>20685</t>
  </si>
  <si>
    <t>DOORMAT RED RETROSPOT</t>
  </si>
  <si>
    <t>22716</t>
  </si>
  <si>
    <t>CARD CIRCUS PARADE</t>
  </si>
  <si>
    <t>84347</t>
  </si>
  <si>
    <t>ROTATING SILVER ANGELS T-LIGHT HLDR</t>
  </si>
  <si>
    <t>22620</t>
  </si>
  <si>
    <t>4 TRADITIONAL SPINNING TOPS</t>
  </si>
  <si>
    <t>22568</t>
  </si>
  <si>
    <t>FELTCRAFT CUSHION OWL</t>
  </si>
  <si>
    <t>85116</t>
  </si>
  <si>
    <t>BLACK CANDELABRA T-LIGHT HOLDER</t>
  </si>
  <si>
    <t>21955</t>
  </si>
  <si>
    <t>DOORMAT UNION JACK GUNS AND ROSES</t>
  </si>
  <si>
    <t>21243</t>
  </si>
  <si>
    <t xml:space="preserve">PINK  POLKADOT PLATE </t>
  </si>
  <si>
    <t>22570</t>
  </si>
  <si>
    <t>FELTCRAFT CUSHION RABBIT</t>
  </si>
  <si>
    <t>21986</t>
  </si>
  <si>
    <t>PACK OF 12 PINK POLKADOT TISSUES</t>
  </si>
  <si>
    <t>22750</t>
  </si>
  <si>
    <t>FELTCRAFT PRINCESS LOLA DOLL</t>
  </si>
  <si>
    <t>22899</t>
  </si>
  <si>
    <t xml:space="preserve">CHILDREN'S APRON DOLLY GIRL </t>
  </si>
  <si>
    <t>22951</t>
  </si>
  <si>
    <t>60 CAKE CASES DOLLY GIRL DESIGN</t>
  </si>
  <si>
    <t>22554</t>
  </si>
  <si>
    <t>PLASTERS IN TIN WOODLAND ANIMALS</t>
  </si>
  <si>
    <t>22113</t>
  </si>
  <si>
    <t>GREY HEART HOT WATER BOTTLE</t>
  </si>
  <si>
    <t>82552</t>
  </si>
  <si>
    <t>WASHROOM METAL SIGN</t>
  </si>
  <si>
    <t>21992</t>
  </si>
  <si>
    <t>VINTAGE PAISLEY STATIONERY SET</t>
  </si>
  <si>
    <t>22423</t>
  </si>
  <si>
    <t>REGENCY CAKESTAND 3 TIER</t>
  </si>
  <si>
    <t>22784</t>
  </si>
  <si>
    <t xml:space="preserve">LANTERN CREAM GAZEBO </t>
  </si>
  <si>
    <t>22699</t>
  </si>
  <si>
    <t xml:space="preserve">ROSES REGENCY TEACUP AND SAUCER </t>
  </si>
  <si>
    <t>22697</t>
  </si>
  <si>
    <t>GREEN REGENCY TEACUP AND SAUCER</t>
  </si>
  <si>
    <t>536527</t>
  </si>
  <si>
    <t>Germany</t>
  </si>
  <si>
    <t>84945</t>
  </si>
  <si>
    <t>MULTI COLOUR SILVER T-LIGHT HOLDER</t>
  </si>
  <si>
    <t>22244</t>
  </si>
  <si>
    <t>3 HOOK HANGER MAGIC GARDEN</t>
  </si>
  <si>
    <t>21519</t>
  </si>
  <si>
    <t xml:space="preserve">GIN &amp; TONIC DIET GREETING CARD </t>
  </si>
  <si>
    <t>536532</t>
  </si>
  <si>
    <t>84692</t>
  </si>
  <si>
    <t>BOX OF 24 COCKTAIL PARASOLS</t>
  </si>
  <si>
    <t>Norway</t>
  </si>
  <si>
    <t>22444</t>
  </si>
  <si>
    <t xml:space="preserve">GROW YOUR OWN PLANT IN A CAN </t>
  </si>
  <si>
    <t>21981</t>
  </si>
  <si>
    <t xml:space="preserve">PACK OF 12 WOODLAND TISSUES </t>
  </si>
  <si>
    <t>22567</t>
  </si>
  <si>
    <t>20 DOLLY PEGS RETROSPOT</t>
  </si>
  <si>
    <t>82600</t>
  </si>
  <si>
    <t>NO SINGING METAL SIGN</t>
  </si>
  <si>
    <t>22791</t>
  </si>
  <si>
    <t>T-LIGHT GLASS FLUTED ANTIQUE</t>
  </si>
  <si>
    <t>48138</t>
  </si>
  <si>
    <t>DOORMAT UNION FLAG</t>
  </si>
  <si>
    <t>536540</t>
  </si>
  <si>
    <t>EIRE</t>
  </si>
  <si>
    <t>85071A</t>
  </si>
  <si>
    <t>BLUE CHARLIE+LOLA PERSONAL DOORSIGN</t>
  </si>
  <si>
    <t>85071C</t>
  </si>
  <si>
    <t>CHARLIE+LOLA"EXTREMELY BUSY" SIGN</t>
  </si>
  <si>
    <t>22355</t>
  </si>
  <si>
    <t>CHARLOTTE BAG SUKI DESIGN</t>
  </si>
  <si>
    <t>21579</t>
  </si>
  <si>
    <t>LOLITA  DESIGN  COTTON TOTE BAG</t>
  </si>
  <si>
    <t>22375</t>
  </si>
  <si>
    <t>AIRLINE BAG VINTAGE JET SET BROWN</t>
  </si>
  <si>
    <t>22847</t>
  </si>
  <si>
    <t>BREAD BIN DINER STYLE IVORY</t>
  </si>
  <si>
    <t>37449</t>
  </si>
  <si>
    <t>CERAMIC CAKE STAND + HANGING CAKES</t>
  </si>
  <si>
    <t>79030D</t>
  </si>
  <si>
    <t>TUMBLER, BAROQUE</t>
  </si>
  <si>
    <t>82551</t>
  </si>
  <si>
    <t>LAUNDRY 15C METAL SIGN</t>
  </si>
  <si>
    <t>85016</t>
  </si>
  <si>
    <t>SET OF 6 VINTAGE NOTELETS KIT</t>
  </si>
  <si>
    <t>85232B</t>
  </si>
  <si>
    <t>SET OF 3 BABUSHKA STACKING TINS</t>
  </si>
  <si>
    <t>20971</t>
  </si>
  <si>
    <t>PINK BLUE FELT CRAFT TRINKET BOX</t>
  </si>
  <si>
    <t>21165</t>
  </si>
  <si>
    <t xml:space="preserve">BEWARE OF THE CAT METAL SIGN </t>
  </si>
  <si>
    <t>21217</t>
  </si>
  <si>
    <t>RED RETROSPOT ROUND CAKE TINS</t>
  </si>
  <si>
    <t>21238</t>
  </si>
  <si>
    <t>RED RETROSPOT CUP</t>
  </si>
  <si>
    <t>22245</t>
  </si>
  <si>
    <t>HOOK, 1 HANGER ,MAGIC GARDEN</t>
  </si>
  <si>
    <t>37446</t>
  </si>
  <si>
    <t>MINI CAKE STAND WITH HANGING CAKES</t>
  </si>
  <si>
    <t>22313</t>
  </si>
  <si>
    <t>OFFICE MUG WARMER PINK</t>
  </si>
  <si>
    <t>85038</t>
  </si>
  <si>
    <t>6 CHOCOLATE LOVE HEART T-LIGHTS</t>
  </si>
  <si>
    <t>22725</t>
  </si>
  <si>
    <t>ALARM CLOCK BAKELIKE CHOCOLATE</t>
  </si>
  <si>
    <t>71477</t>
  </si>
  <si>
    <t>COLOUR GLASS. STAR T-LIGHT HOLDER</t>
  </si>
  <si>
    <t>22331</t>
  </si>
  <si>
    <t>WOODLAND PARTY BAG + STICKER SET</t>
  </si>
  <si>
    <t>22409</t>
  </si>
  <si>
    <t>MONEY BOX BISCUITS DESIGN</t>
  </si>
  <si>
    <t>22841</t>
  </si>
  <si>
    <t>ROUND CAKE TIN VINTAGE GREEN</t>
  </si>
  <si>
    <t>22365</t>
  </si>
  <si>
    <t>DOORMAT RESPECTABLE HOUSE</t>
  </si>
  <si>
    <t>84077</t>
  </si>
  <si>
    <t>WORLD WAR 2 GLIDERS ASSTD DESIGNS</t>
  </si>
  <si>
    <t>21428</t>
  </si>
  <si>
    <t xml:space="preserve">SET3 BOOK BOX GREEN GINGHAM FLOWER </t>
  </si>
  <si>
    <t>22840</t>
  </si>
  <si>
    <t>ROUND CAKE TIN VINTAGE RED</t>
  </si>
  <si>
    <t>536793</t>
  </si>
  <si>
    <t>21031</t>
  </si>
  <si>
    <t>SPACE CADET BLACK</t>
  </si>
  <si>
    <t>21026</t>
  </si>
  <si>
    <t>SPACE OWL</t>
  </si>
  <si>
    <t>536803</t>
  </si>
  <si>
    <t>536858</t>
  </si>
  <si>
    <t>Switzerland</t>
  </si>
  <si>
    <t>20886</t>
  </si>
  <si>
    <t>BOX OF 9 PEBBLE CANDLES</t>
  </si>
  <si>
    <t>84987</t>
  </si>
  <si>
    <t>SET OF 36 TEATIME PAPER DOILIES</t>
  </si>
  <si>
    <t>22216</t>
  </si>
  <si>
    <t>T-LIGHT HOLDER WHITE LACE</t>
  </si>
  <si>
    <t>536944</t>
  </si>
  <si>
    <t>Spain</t>
  </si>
  <si>
    <t>536971</t>
  </si>
  <si>
    <t>Poland</t>
  </si>
  <si>
    <t>72802B</t>
  </si>
  <si>
    <t>OCEAN SCENT CANDLE IN JEWELLED BOX</t>
  </si>
  <si>
    <t>536990</t>
  </si>
  <si>
    <t>Portugal</t>
  </si>
  <si>
    <t>537022</t>
  </si>
  <si>
    <t>Italy</t>
  </si>
  <si>
    <t>21287</t>
  </si>
  <si>
    <t xml:space="preserve">SCENTED VELVET LOUNGE CANDLE </t>
  </si>
  <si>
    <t>79337</t>
  </si>
  <si>
    <t>BLUE FLOCK GLASS CANDLEHOLDER</t>
  </si>
  <si>
    <t>85111</t>
  </si>
  <si>
    <t>SILVER GLITTER FLOWER VOTIVE HOLDER</t>
  </si>
  <si>
    <t>537026</t>
  </si>
  <si>
    <t>Belgium</t>
  </si>
  <si>
    <t>537081</t>
  </si>
  <si>
    <t>Lithuania</t>
  </si>
  <si>
    <t>537218</t>
  </si>
  <si>
    <t>Japan</t>
  </si>
  <si>
    <t>22690</t>
  </si>
  <si>
    <t xml:space="preserve">DOORMAT HOME SWEET HOME BLUE </t>
  </si>
  <si>
    <t>22691</t>
  </si>
  <si>
    <t>DOORMAT WELCOME SUNRISE</t>
  </si>
  <si>
    <t>22693</t>
  </si>
  <si>
    <t>GROW A FLYTRAP OR SUNFLOWER IN TIN</t>
  </si>
  <si>
    <t>537626</t>
  </si>
  <si>
    <t>Iceland</t>
  </si>
  <si>
    <t>537676</t>
  </si>
  <si>
    <t>22930</t>
  </si>
  <si>
    <t>BAKING MOULD HEART MILK CHOCOLATE</t>
  </si>
  <si>
    <t>48116</t>
  </si>
  <si>
    <t>DOORMAT MULTICOLOUR STRIPE</t>
  </si>
  <si>
    <t>538002</t>
  </si>
  <si>
    <t>Channel Islands</t>
  </si>
  <si>
    <t>538003</t>
  </si>
  <si>
    <t>Denmark</t>
  </si>
  <si>
    <t>21132</t>
  </si>
  <si>
    <t xml:space="preserve">SILVER STANDING GNOME   </t>
  </si>
  <si>
    <t>85183A</t>
  </si>
  <si>
    <t>CHARLIE &amp; LOLA WASTEPAPER BIN BLUE</t>
  </si>
  <si>
    <t>22722</t>
  </si>
  <si>
    <t>SET OF 6 SPICE TINS PANTRY DESIGN</t>
  </si>
  <si>
    <t>22720</t>
  </si>
  <si>
    <t xml:space="preserve">SET OF 3 CAKE TINS PANTRY DESIGN </t>
  </si>
  <si>
    <t>538826</t>
  </si>
  <si>
    <t>Cyprus</t>
  </si>
  <si>
    <t>Sweden</t>
  </si>
  <si>
    <t>538848</t>
  </si>
  <si>
    <t>Austria</t>
  </si>
  <si>
    <t>Israel</t>
  </si>
  <si>
    <t>539318</t>
  </si>
  <si>
    <t>Finland</t>
  </si>
  <si>
    <t>539330</t>
  </si>
  <si>
    <t>539338</t>
  </si>
  <si>
    <t>539491</t>
  </si>
  <si>
    <t>539500</t>
  </si>
  <si>
    <t>Bahrain</t>
  </si>
  <si>
    <t>22957</t>
  </si>
  <si>
    <t>SET 3 PAPER VINTAGE CHICK PAPER EGG</t>
  </si>
  <si>
    <t>541932</t>
  </si>
  <si>
    <t>Greece</t>
  </si>
  <si>
    <t>541975</t>
  </si>
  <si>
    <t>Hong Kong</t>
  </si>
  <si>
    <t>542102</t>
  </si>
  <si>
    <t>Singapore</t>
  </si>
  <si>
    <t>542276</t>
  </si>
  <si>
    <t>Lebanon</t>
  </si>
  <si>
    <t>543911</t>
  </si>
  <si>
    <t>United Arab Emirates</t>
  </si>
  <si>
    <t>544108</t>
  </si>
  <si>
    <t>544838</t>
  </si>
  <si>
    <t>Saudi Arabia</t>
  </si>
  <si>
    <t>545072</t>
  </si>
  <si>
    <t>Czech Republic</t>
  </si>
  <si>
    <t>22979</t>
  </si>
  <si>
    <t>PANTRY WASHING UP BRUSH</t>
  </si>
  <si>
    <t>546533</t>
  </si>
  <si>
    <t>Canada</t>
  </si>
  <si>
    <t>549687</t>
  </si>
  <si>
    <t>Unspecified</t>
  </si>
  <si>
    <t>550201</t>
  </si>
  <si>
    <t>Brazil</t>
  </si>
  <si>
    <t>550644</t>
  </si>
  <si>
    <t>USA</t>
  </si>
  <si>
    <t>551013</t>
  </si>
  <si>
    <t>European Community</t>
  </si>
  <si>
    <t>552449</t>
  </si>
  <si>
    <t>555931</t>
  </si>
  <si>
    <t>Malta</t>
  </si>
  <si>
    <t>571035</t>
  </si>
  <si>
    <t>RSA</t>
  </si>
  <si>
    <t>Online Retail Dataset</t>
  </si>
  <si>
    <t>Total Quantity</t>
  </si>
  <si>
    <t>Average Quantity</t>
  </si>
  <si>
    <t>Grand Total</t>
  </si>
  <si>
    <t>Sum of Quantity</t>
  </si>
  <si>
    <t>Country wise CustomerID</t>
  </si>
  <si>
    <t>Sum of Quantity Country wise</t>
  </si>
  <si>
    <t>Sum of Revenue</t>
  </si>
  <si>
    <t>Revenue</t>
  </si>
  <si>
    <t>Transaction Analysis</t>
  </si>
  <si>
    <t>Quantity Revenue Analysis</t>
  </si>
  <si>
    <t>2010</t>
  </si>
  <si>
    <t>Qtr4</t>
  </si>
  <si>
    <t>Dec</t>
  </si>
  <si>
    <t>Time Period Based Country Wise Analysis</t>
  </si>
  <si>
    <t>Total Revenue</t>
  </si>
  <si>
    <t>Average Revenue</t>
  </si>
  <si>
    <t>Total Customers</t>
  </si>
  <si>
    <t>Total Transactions</t>
  </si>
  <si>
    <t>Total Country</t>
  </si>
  <si>
    <t>Monthly Revenue</t>
  </si>
  <si>
    <t>Country Wise Revenue</t>
  </si>
  <si>
    <t>Total Different Products</t>
  </si>
  <si>
    <t>Month</t>
  </si>
  <si>
    <t>Product</t>
  </si>
  <si>
    <t>Revenue Dashboard</t>
  </si>
  <si>
    <t>2011</t>
  </si>
  <si>
    <t>Qtr1</t>
  </si>
  <si>
    <t>Jan</t>
  </si>
  <si>
    <t>Feb</t>
  </si>
  <si>
    <t>Mar</t>
  </si>
  <si>
    <t>Qtr2</t>
  </si>
  <si>
    <t>Apr</t>
  </si>
  <si>
    <t>May</t>
  </si>
  <si>
    <t>Jun</t>
  </si>
  <si>
    <t>Oct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</si>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</sst>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8"/>
      <color rgb="FFFF0000"/>
      <name val="Aptos Narrow"/>
      <family val="2"/>
      <scheme val="minor"/>
    </font>
    <font>
      <b/>
      <sz val="26"/>
      <color rgb="FFFF0000"/>
      <name val="Aptos Narrow"/>
      <family val="2"/>
      <scheme val="minor"/>
    </font>
    <font>
      <b/>
      <sz val="60"/>
      <color theme="2"/>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3">
    <xf numFmtId="0" fontId="0" fillId="0" borderId="0" xfId="0"/>
    <xf numFmtId="22" fontId="0" fillId="0" borderId="0" xfId="0" applyNumberFormat="1"/>
    <xf numFmtId="0" fontId="0" fillId="3" borderId="1" xfId="0" applyFill="1" applyBorder="1"/>
    <xf numFmtId="0" fontId="2" fillId="3"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pivotButton="1" applyAlignment="1">
      <alignment wrapText="1"/>
    </xf>
    <xf numFmtId="0" fontId="0" fillId="0" borderId="0" xfId="0" applyAlignment="1">
      <alignment wrapText="1"/>
    </xf>
    <xf numFmtId="0" fontId="0" fillId="0" borderId="0" xfId="0" applyAlignment="1">
      <alignment horizontal="left" wrapText="1"/>
    </xf>
    <xf numFmtId="44" fontId="0" fillId="0" borderId="0" xfId="1" applyFont="1"/>
    <xf numFmtId="164" fontId="0" fillId="0" borderId="0" xfId="0" applyNumberFormat="1"/>
    <xf numFmtId="44" fontId="0" fillId="3" borderId="1" xfId="0" applyNumberFormat="1" applyFill="1" applyBorder="1"/>
    <xf numFmtId="44" fontId="0" fillId="0" borderId="0" xfId="0" applyNumberFormat="1"/>
    <xf numFmtId="0" fontId="0" fillId="4" borderId="0" xfId="0" applyFill="1"/>
    <xf numFmtId="0" fontId="4" fillId="2" borderId="0" xfId="0" applyFont="1" applyFill="1" applyAlignment="1">
      <alignment horizontal="center" vertical="center"/>
    </xf>
    <xf numFmtId="0" fontId="3" fillId="3" borderId="0" xfId="0" applyFont="1" applyFill="1" applyAlignment="1">
      <alignment horizontal="center"/>
    </xf>
    <xf numFmtId="0" fontId="3" fillId="3" borderId="0" xfId="0" applyFont="1" applyFill="1" applyAlignment="1">
      <alignment horizontal="center" vertical="center"/>
    </xf>
    <xf numFmtId="0" fontId="3" fillId="3" borderId="0" xfId="0" applyFont="1" applyFill="1" applyAlignment="1">
      <alignment horizontal="center" vertical="center" wrapText="1"/>
    </xf>
    <xf numFmtId="0" fontId="5" fillId="5" borderId="0" xfId="0" applyFont="1" applyFill="1" applyAlignment="1">
      <alignment horizontal="center" vertical="center"/>
    </xf>
    <xf numFmtId="0" fontId="0" fillId="0" borderId="0" xfId="0" applyNumberFormat="1"/>
  </cellXfs>
  <cellStyles count="2">
    <cellStyle name="Currency" xfId="1" builtinId="4"/>
    <cellStyle name="Normal" xfId="0" builtinId="0"/>
  </cellStyles>
  <dxfs count="38">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numFmt numFmtId="0" formatCode="General"/>
    </dxf>
    <dxf>
      <numFmt numFmtId="164" formatCode="&quot;$&quot;#,##0.0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numFmt numFmtId="0" formatCode="General"/>
    </dxf>
    <dxf>
      <numFmt numFmtId="164" formatCode="&quot;$&quot;#,##0.00"/>
    </dxf>
    <dxf>
      <numFmt numFmtId="164" formatCode="&quot;$&quot;#,##0.00"/>
    </dxf>
    <dxf>
      <numFmt numFmtId="0" formatCode="General"/>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numFmt numFmtId="0" formatCode="General"/>
    </dxf>
    <dxf>
      <numFmt numFmtId="27" formatCode="m/d/yyyy\ 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[OnlineRetailDatasetSample.xlsx]Pivot-Tables!TimePeriod-Country-Analysis</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'Pivot-Tables'!$F$4</c:f>
              <c:strCache>
                <c:ptCount val="1"/>
                <c:pt idx="0">
                  <c:v>Sum of Revenue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'Pivot-Tables'!$E$5:$E$156</c:f>
              <c:multiLvlStrCache>
                <c:ptCount val="137"/>
                <c:lvl>
                  <c:pt idx="0">
                    <c:v>20 DOLLY PEGS RETROSPOT</c:v>
                  </c:pt>
                  <c:pt idx="1">
                    <c:v>5 HOOK HANGER MAGIC TOADSTOOL</c:v>
                  </c:pt>
                  <c:pt idx="2">
                    <c:v>6 CHOCOLATE LOVE HEART T-LIGHTS</c:v>
                  </c:pt>
                  <c:pt idx="3">
                    <c:v>60 CAKE CASES DOLLY GIRL DESIGN</c:v>
                  </c:pt>
                  <c:pt idx="4">
                    <c:v>60 TEATIME FAIRY CAKE CASES</c:v>
                  </c:pt>
                  <c:pt idx="5">
                    <c:v>72 SWEETHEART FAIRY CAKE CASES</c:v>
                  </c:pt>
                  <c:pt idx="6">
                    <c:v>AIRLINE BAG VINTAGE JET SET BROWN</c:v>
                  </c:pt>
                  <c:pt idx="7">
                    <c:v>ALARM CLOCK BAKELIKE CHOCOLATE</c:v>
                  </c:pt>
                  <c:pt idx="8">
                    <c:v>ALARM CLOCK BAKELIKE GREEN</c:v>
                  </c:pt>
                  <c:pt idx="9">
                    <c:v>ALARM CLOCK BAKELIKE PINK</c:v>
                  </c:pt>
                  <c:pt idx="10">
                    <c:v>ALARM CLOCK BAKELIKE RED </c:v>
                  </c:pt>
                  <c:pt idx="11">
                    <c:v>BLACK CANDELABRA T-LIGHT HOLDER</c:v>
                  </c:pt>
                  <c:pt idx="12">
                    <c:v>BLUE CHARLIE+LOLA PERSONAL DOORSIGN</c:v>
                  </c:pt>
                  <c:pt idx="13">
                    <c:v>BLUE FLOCK GLASS CANDLEHOLDER</c:v>
                  </c:pt>
                  <c:pt idx="14">
                    <c:v>BLUE HARMONICA IN BOX </c:v>
                  </c:pt>
                  <c:pt idx="15">
                    <c:v>BOX OF 24 COCKTAIL PARASOLS</c:v>
                  </c:pt>
                  <c:pt idx="16">
                    <c:v>BREAD BIN DINER STYLE IVORY</c:v>
                  </c:pt>
                  <c:pt idx="17">
                    <c:v>CARD CIRCUS PARADE</c:v>
                  </c:pt>
                  <c:pt idx="18">
                    <c:v>CERAMIC CAKE STAND + HANGING CAKES</c:v>
                  </c:pt>
                  <c:pt idx="19">
                    <c:v>CHARLIE+LOLA"EXTREMELY BUSY" SIGN</c:v>
                  </c:pt>
                  <c:pt idx="20">
                    <c:v>CHARLOTTE BAG SUKI DESIGN</c:v>
                  </c:pt>
                  <c:pt idx="21">
                    <c:v>CHILDREN'S APRON DOLLY GIRL </c:v>
                  </c:pt>
                  <c:pt idx="22">
                    <c:v>CHRISTMAS LIGHTS 10 REINDEER</c:v>
                  </c:pt>
                  <c:pt idx="23">
                    <c:v>COLOUR GLASS. STAR T-LIGHT HOLDER</c:v>
                  </c:pt>
                  <c:pt idx="24">
                    <c:v>CREAM CUPID HEARTS COAT HANGER</c:v>
                  </c:pt>
                  <c:pt idx="25">
                    <c:v>DOORMAT FANCY FONT HOME SWEET HOME</c:v>
                  </c:pt>
                  <c:pt idx="26">
                    <c:v>DOORMAT HOME SWEET HOME BLUE </c:v>
                  </c:pt>
                  <c:pt idx="27">
                    <c:v>DOORMAT RED RETROSPOT</c:v>
                  </c:pt>
                  <c:pt idx="28">
                    <c:v>DOORMAT RESPECTABLE HOUSE</c:v>
                  </c:pt>
                  <c:pt idx="29">
                    <c:v>DOORMAT UNION JACK GUNS AND ROSES</c:v>
                  </c:pt>
                  <c:pt idx="30">
                    <c:v>EDWARDIAN PARASOL BLACK</c:v>
                  </c:pt>
                  <c:pt idx="31">
                    <c:v>FANCY FONT BIRTHDAY CARD, </c:v>
                  </c:pt>
                  <c:pt idx="32">
                    <c:v>FELTCRAFT CUSHION OWL</c:v>
                  </c:pt>
                  <c:pt idx="33">
                    <c:v>FELTCRAFT CUSHION RABBIT</c:v>
                  </c:pt>
                  <c:pt idx="34">
                    <c:v>FELTCRAFT PRINCESS LOLA DOLL</c:v>
                  </c:pt>
                  <c:pt idx="35">
                    <c:v>GREY HEART HOT WATER BOTTLE</c:v>
                  </c:pt>
                  <c:pt idx="36">
                    <c:v>GROW YOUR OWN PLANT IN A CAN </c:v>
                  </c:pt>
                  <c:pt idx="37">
                    <c:v>HAND WARMER BIRD DESIGN</c:v>
                  </c:pt>
                  <c:pt idx="38">
                    <c:v>JAM JAR WITH PINK LID</c:v>
                  </c:pt>
                  <c:pt idx="39">
                    <c:v>JAM MAKING SET WITH JARS</c:v>
                  </c:pt>
                  <c:pt idx="40">
                    <c:v>KNITTED UNION FLAG HOT WATER BOTTLE</c:v>
                  </c:pt>
                  <c:pt idx="41">
                    <c:v>LOLITA  DESIGN  COTTON TOTE BAG</c:v>
                  </c:pt>
                  <c:pt idx="42">
                    <c:v>LUNCH BAG  BLACK SKULL.</c:v>
                  </c:pt>
                  <c:pt idx="43">
                    <c:v>LUNCH BAG CARS BLUE</c:v>
                  </c:pt>
                  <c:pt idx="44">
                    <c:v>LUNCH BAG PINK POLKADOT</c:v>
                  </c:pt>
                  <c:pt idx="45">
                    <c:v>LUNCH BAG SUKI  DESIGN </c:v>
                  </c:pt>
                  <c:pt idx="46">
                    <c:v>MINI CAKE STAND WITH HANGING CAKES</c:v>
                  </c:pt>
                  <c:pt idx="47">
                    <c:v>MONEY BOX BISCUITS DESIGN</c:v>
                  </c:pt>
                  <c:pt idx="48">
                    <c:v>MULTI COLOUR SILVER T-LIGHT HOLDER</c:v>
                  </c:pt>
                  <c:pt idx="49">
                    <c:v>OCEAN SCENT CANDLE IN JEWELLED BOX</c:v>
                  </c:pt>
                  <c:pt idx="50">
                    <c:v>OFFICE MUG WARMER PINK</c:v>
                  </c:pt>
                  <c:pt idx="51">
                    <c:v>PACK OF 12 PINK POLKADOT TISSUES</c:v>
                  </c:pt>
                  <c:pt idx="52">
                    <c:v>PACK OF 12 WOODLAND TISSUES </c:v>
                  </c:pt>
                  <c:pt idx="53">
                    <c:v>PACK OF 60 PINK PAISLEY CAKE CASES</c:v>
                  </c:pt>
                  <c:pt idx="54">
                    <c:v>PACK OF 72 RETROSPOT CAKE CASES</c:v>
                  </c:pt>
                  <c:pt idx="55">
                    <c:v>PACK OF 72 SKULL CAKE CASES</c:v>
                  </c:pt>
                  <c:pt idx="56">
                    <c:v>PANDA AND BUNNIES STICKER SHEET</c:v>
                  </c:pt>
                  <c:pt idx="57">
                    <c:v>PINK BLUE FELT CRAFT TRINKET BOX</c:v>
                  </c:pt>
                  <c:pt idx="58">
                    <c:v>PLASTERS IN TIN WOODLAND ANIMALS</c:v>
                  </c:pt>
                  <c:pt idx="59">
                    <c:v>POSTAGE</c:v>
                  </c:pt>
                  <c:pt idx="60">
                    <c:v>RED  HARMONICA IN BOX </c:v>
                  </c:pt>
                  <c:pt idx="61">
                    <c:v>RED HANGING HEART T-LIGHT HOLDER</c:v>
                  </c:pt>
                  <c:pt idx="62">
                    <c:v>RED RETROSPOT ROUND CAKE TINS</c:v>
                  </c:pt>
                  <c:pt idx="63">
                    <c:v>RED TOADSTOOL LED NIGHT LIGHT</c:v>
                  </c:pt>
                  <c:pt idx="64">
                    <c:v>ROSE COTTAGE KEEPSAKE BOX </c:v>
                  </c:pt>
                  <c:pt idx="65">
                    <c:v>ROTATING SILVER ANGELS T-LIGHT HLDR</c:v>
                  </c:pt>
                  <c:pt idx="66">
                    <c:v>ROUND SNACK BOXES SET OF4 WOODLAND </c:v>
                  </c:pt>
                  <c:pt idx="67">
                    <c:v>SCENTED VELVET LOUNGE CANDLE </c:v>
                  </c:pt>
                  <c:pt idx="68">
                    <c:v>SET OF 20 KIDS COOKIE CUTTERS</c:v>
                  </c:pt>
                  <c:pt idx="69">
                    <c:v>SET OF 3 BABUSHKA STACKING TINS</c:v>
                  </c:pt>
                  <c:pt idx="70">
                    <c:v>SET OF 3 COLOURED  FLYING DUCKS</c:v>
                  </c:pt>
                  <c:pt idx="71">
                    <c:v>SET OF 3 GOLD FLYING DUCKS</c:v>
                  </c:pt>
                  <c:pt idx="72">
                    <c:v>SET OF 6 T-LIGHTS SANTA</c:v>
                  </c:pt>
                  <c:pt idx="73">
                    <c:v>SET OF 6 VINTAGE NOTELETS KIT</c:v>
                  </c:pt>
                  <c:pt idx="74">
                    <c:v>SET3 BOOK BOX GREEN GINGHAM FLOWER </c:v>
                  </c:pt>
                  <c:pt idx="75">
                    <c:v>SILVER GLITTER FLOWER VOTIVE HOLDER</c:v>
                  </c:pt>
                  <c:pt idx="76">
                    <c:v>SPACE CADET BLACK</c:v>
                  </c:pt>
                  <c:pt idx="77">
                    <c:v>SPACE OWL</c:v>
                  </c:pt>
                  <c:pt idx="78">
                    <c:v>STRAWBERRY CERAMIC TRINKET BOX</c:v>
                  </c:pt>
                  <c:pt idx="79">
                    <c:v>T-LIGHT GLASS FLUTED ANTIQUE</c:v>
                  </c:pt>
                  <c:pt idx="80">
                    <c:v>VINTAGE HEADS AND TAILS CARD GAME </c:v>
                  </c:pt>
                  <c:pt idx="81">
                    <c:v>VINTAGE PAISLEY STATIONERY SET</c:v>
                  </c:pt>
                  <c:pt idx="82">
                    <c:v>VINTAGE SNAKES &amp; LADDERS</c:v>
                  </c:pt>
                  <c:pt idx="83">
                    <c:v>VINTAGE UNION JACK CUSHION COVER</c:v>
                  </c:pt>
                  <c:pt idx="84">
                    <c:v>WHITE HANGING HEART T-LIGHT HOLDER</c:v>
                  </c:pt>
                  <c:pt idx="85">
                    <c:v>WHITE METAL LANTERN</c:v>
                  </c:pt>
                  <c:pt idx="86">
                    <c:v>WOODEN OWLS LIGHT GARLAND </c:v>
                  </c:pt>
                  <c:pt idx="87">
                    <c:v>WOODLAND PARTY BAG + STICKER SET</c:v>
                  </c:pt>
                  <c:pt idx="88">
                    <c:v>WORLD WAR 2 GLIDERS ASSTD DESIGNS</c:v>
                  </c:pt>
                  <c:pt idx="89">
                    <c:v>YOU'RE CONFUSING ME METAL SIGN </c:v>
                  </c:pt>
                  <c:pt idx="90">
                    <c:v>4 TRADITIONAL SPINNING TOPS</c:v>
                  </c:pt>
                  <c:pt idx="91">
                    <c:v>BEWARE OF THE CAT METAL SIGN </c:v>
                  </c:pt>
                  <c:pt idx="92">
                    <c:v>CHARLIE &amp; LOLA WASTEPAPER BIN BLUE</c:v>
                  </c:pt>
                  <c:pt idx="93">
                    <c:v>CHARLIE &amp; LOLA WASTEPAPER BIN FLORA</c:v>
                  </c:pt>
                  <c:pt idx="94">
                    <c:v>GIN &amp; TONIC DIET GREETING CARD </c:v>
                  </c:pt>
                  <c:pt idx="95">
                    <c:v>GREEN REGENCY TEACUP AND SAUCER</c:v>
                  </c:pt>
                  <c:pt idx="96">
                    <c:v>LAUNDRY 15C METAL SIGN</c:v>
                  </c:pt>
                  <c:pt idx="97">
                    <c:v>NO SINGING METAL SIGN</c:v>
                  </c:pt>
                  <c:pt idx="98">
                    <c:v>ROSES REGENCY TEACUP AND SAUCER </c:v>
                  </c:pt>
                  <c:pt idx="99">
                    <c:v>SET 3 PAPER VINTAGE CHICK PAPER EGG</c:v>
                  </c:pt>
                  <c:pt idx="100">
                    <c:v>3 HOOK HANGER MAGIC GARDEN</c:v>
                  </c:pt>
                  <c:pt idx="101">
                    <c:v>ASSORTED BOTTLE TOP  MAGNETS </c:v>
                  </c:pt>
                  <c:pt idx="102">
                    <c:v>BAKING MOULD HEART MILK CHOCOLATE</c:v>
                  </c:pt>
                  <c:pt idx="103">
                    <c:v>COLOUR GLASS T-LIGHT HOLDER HANGING</c:v>
                  </c:pt>
                  <c:pt idx="104">
                    <c:v>DOORMAT UNION FLAG</c:v>
                  </c:pt>
                  <c:pt idx="105">
                    <c:v>HOOK, 1 HANGER ,MAGIC GARDEN</c:v>
                  </c:pt>
                  <c:pt idx="106">
                    <c:v>LADIES &amp; GENTLEMEN METAL SIGN</c:v>
                  </c:pt>
                  <c:pt idx="107">
                    <c:v>LAUNDRY 15C METAL SIGN</c:v>
                  </c:pt>
                  <c:pt idx="108">
                    <c:v>RETROSPOT HEART HOT WATER BOTTLE</c:v>
                  </c:pt>
                  <c:pt idx="109">
                    <c:v>T-LIGHT HOLDER WHITE LACE</c:v>
                  </c:pt>
                  <c:pt idx="110">
                    <c:v>WASHROOM METAL SIGN</c:v>
                  </c:pt>
                  <c:pt idx="111">
                    <c:v>ASSORTED COLOUR BIRD ORNAMENT</c:v>
                  </c:pt>
                  <c:pt idx="112">
                    <c:v>BOX OF 9 PEBBLE CANDLES</c:v>
                  </c:pt>
                  <c:pt idx="113">
                    <c:v>SILVER STANDING GNOME   </c:v>
                  </c:pt>
                  <c:pt idx="114">
                    <c:v>TUMBLER, BAROQUE</c:v>
                  </c:pt>
                  <c:pt idx="115">
                    <c:v>3 TIER CAKE TIN GREEN AND CREAM</c:v>
                  </c:pt>
                  <c:pt idx="116">
                    <c:v>DOORMAT MULTICOLOUR STRIPE</c:v>
                  </c:pt>
                  <c:pt idx="117">
                    <c:v>DOORMAT RED RETROSPOT</c:v>
                  </c:pt>
                  <c:pt idx="118">
                    <c:v>DOORMAT WELCOME SUNRISE</c:v>
                  </c:pt>
                  <c:pt idx="119">
                    <c:v>NATURAL SLATE HEART CHALKBOARD </c:v>
                  </c:pt>
                  <c:pt idx="120">
                    <c:v>PACK OF 60 PINK PAISLEY CAKE CASES</c:v>
                  </c:pt>
                  <c:pt idx="121">
                    <c:v>PACK OF 72 SKULL CAKE CASES</c:v>
                  </c:pt>
                  <c:pt idx="122">
                    <c:v>PANTRY WASHING UP BRUSH</c:v>
                  </c:pt>
                  <c:pt idx="123">
                    <c:v>REGENCY CAKESTAND 3 TIER</c:v>
                  </c:pt>
                  <c:pt idx="124">
                    <c:v>ROSES REGENCY TEACUP AND SAUCER </c:v>
                  </c:pt>
                  <c:pt idx="125">
                    <c:v>ROUND CAKE TIN VINTAGE GREEN</c:v>
                  </c:pt>
                  <c:pt idx="126">
                    <c:v>ROUND CAKE TIN VINTAGE RED</c:v>
                  </c:pt>
                  <c:pt idx="127">
                    <c:v>SET OF 3 CAKE TINS PANTRY DESIGN </c:v>
                  </c:pt>
                  <c:pt idx="128">
                    <c:v>SET OF 36 TEATIME PAPER DOILIES</c:v>
                  </c:pt>
                  <c:pt idx="129">
                    <c:v>SET OF 6 SPICE TINS PANTRY DESIGN</c:v>
                  </c:pt>
                  <c:pt idx="130">
                    <c:v>GROW A FLYTRAP OR SUNFLOWER IN TIN</c:v>
                  </c:pt>
                  <c:pt idx="131">
                    <c:v>LANTERN CREAM GAZEBO </c:v>
                  </c:pt>
                  <c:pt idx="132">
                    <c:v>RED HANGING HEART T-LIGHT HOLDER</c:v>
                  </c:pt>
                  <c:pt idx="133">
                    <c:v>SET OF 6 GIRLS CELEBRATION CANDLES</c:v>
                  </c:pt>
                  <c:pt idx="134">
                    <c:v>WHITE HANGING HEART T-LIGHT HOLDER</c:v>
                  </c:pt>
                  <c:pt idx="135">
                    <c:v>PINK  POLKADOT PLATE </c:v>
                  </c:pt>
                  <c:pt idx="136">
                    <c:v>RED RETROSPOT CUP</c:v>
                  </c:pt>
                </c:lvl>
                <c:lvl>
                  <c:pt idx="0">
                    <c:v>Dec</c:v>
                  </c:pt>
                  <c:pt idx="90">
                    <c:v>Jan</c:v>
                  </c:pt>
                  <c:pt idx="100">
                    <c:v>Feb</c:v>
                  </c:pt>
                  <c:pt idx="111">
                    <c:v>Mar</c:v>
                  </c:pt>
                  <c:pt idx="115">
                    <c:v>Apr</c:v>
                  </c:pt>
                  <c:pt idx="130">
                    <c:v>May</c:v>
                  </c:pt>
                  <c:pt idx="131">
                    <c:v>Jun</c:v>
                  </c:pt>
                  <c:pt idx="135">
                    <c:v>Oct</c:v>
                  </c:pt>
                </c:lvl>
                <c:lvl>
                  <c:pt idx="0">
                    <c:v>Qtr4</c:v>
                  </c:pt>
                  <c:pt idx="90">
                    <c:v>Qtr1</c:v>
                  </c:pt>
                  <c:pt idx="115">
                    <c:v>Qtr2</c:v>
                  </c:pt>
                  <c:pt idx="135">
                    <c:v>Qtr4</c:v>
                  </c:pt>
                </c:lvl>
                <c:lvl>
                  <c:pt idx="0">
                    <c:v>2010</c:v>
                  </c:pt>
                  <c:pt idx="90">
                    <c:v>2011</c:v>
                  </c:pt>
                </c:lvl>
              </c:multiLvlStrCache>
            </c:multiLvlStrRef>
          </c:cat>
          <c:val>
            <c:numRef>
              <c:f>'Pivot-Tables'!$F$5:$F$156</c:f>
              <c:numCache>
                <c:formatCode>"$"#,##0.00</c:formatCode>
                <c:ptCount val="137"/>
                <c:pt idx="0">
                  <c:v>30</c:v>
                </c:pt>
                <c:pt idx="1">
                  <c:v>19.799999999999997</c:v>
                </c:pt>
                <c:pt idx="2">
                  <c:v>12.600000000000001</c:v>
                </c:pt>
                <c:pt idx="3">
                  <c:v>171.6</c:v>
                </c:pt>
                <c:pt idx="4">
                  <c:v>63.6</c:v>
                </c:pt>
                <c:pt idx="5">
                  <c:v>39.6</c:v>
                </c:pt>
                <c:pt idx="6">
                  <c:v>17</c:v>
                </c:pt>
                <c:pt idx="7">
                  <c:v>15</c:v>
                </c:pt>
                <c:pt idx="8">
                  <c:v>60</c:v>
                </c:pt>
                <c:pt idx="9">
                  <c:v>90</c:v>
                </c:pt>
                <c:pt idx="10">
                  <c:v>90</c:v>
                </c:pt>
                <c:pt idx="11">
                  <c:v>25.200000000000003</c:v>
                </c:pt>
                <c:pt idx="12">
                  <c:v>17.700000000000003</c:v>
                </c:pt>
                <c:pt idx="13">
                  <c:v>9.8999999999999986</c:v>
                </c:pt>
                <c:pt idx="14">
                  <c:v>15</c:v>
                </c:pt>
                <c:pt idx="15">
                  <c:v>21</c:v>
                </c:pt>
                <c:pt idx="16">
                  <c:v>119.6</c:v>
                </c:pt>
                <c:pt idx="17">
                  <c:v>5.04</c:v>
                </c:pt>
                <c:pt idx="18">
                  <c:v>68</c:v>
                </c:pt>
                <c:pt idx="19">
                  <c:v>15.299999999999999</c:v>
                </c:pt>
                <c:pt idx="20">
                  <c:v>42.5</c:v>
                </c:pt>
                <c:pt idx="21">
                  <c:v>16.8</c:v>
                </c:pt>
                <c:pt idx="22">
                  <c:v>51</c:v>
                </c:pt>
                <c:pt idx="23">
                  <c:v>39</c:v>
                </c:pt>
                <c:pt idx="24">
                  <c:v>22</c:v>
                </c:pt>
                <c:pt idx="25">
                  <c:v>15.9</c:v>
                </c:pt>
                <c:pt idx="26">
                  <c:v>15.9</c:v>
                </c:pt>
                <c:pt idx="27">
                  <c:v>15.9</c:v>
                </c:pt>
                <c:pt idx="28">
                  <c:v>15.9</c:v>
                </c:pt>
                <c:pt idx="29">
                  <c:v>15.9</c:v>
                </c:pt>
                <c:pt idx="30">
                  <c:v>71.400000000000006</c:v>
                </c:pt>
                <c:pt idx="31">
                  <c:v>5.04</c:v>
                </c:pt>
                <c:pt idx="32">
                  <c:v>15</c:v>
                </c:pt>
                <c:pt idx="33">
                  <c:v>15</c:v>
                </c:pt>
                <c:pt idx="34">
                  <c:v>15</c:v>
                </c:pt>
                <c:pt idx="35">
                  <c:v>37.5</c:v>
                </c:pt>
                <c:pt idx="36">
                  <c:v>101.76</c:v>
                </c:pt>
                <c:pt idx="37">
                  <c:v>177.60000000000002</c:v>
                </c:pt>
                <c:pt idx="38">
                  <c:v>10.199999999999999</c:v>
                </c:pt>
                <c:pt idx="39">
                  <c:v>25.5</c:v>
                </c:pt>
                <c:pt idx="40">
                  <c:v>20.34</c:v>
                </c:pt>
                <c:pt idx="41">
                  <c:v>13.5</c:v>
                </c:pt>
                <c:pt idx="42">
                  <c:v>99</c:v>
                </c:pt>
                <c:pt idx="43">
                  <c:v>23.099999999999998</c:v>
                </c:pt>
                <c:pt idx="44">
                  <c:v>145</c:v>
                </c:pt>
                <c:pt idx="45">
                  <c:v>132</c:v>
                </c:pt>
                <c:pt idx="46">
                  <c:v>23.2</c:v>
                </c:pt>
                <c:pt idx="47">
                  <c:v>15</c:v>
                </c:pt>
                <c:pt idx="48">
                  <c:v>10.199999999999999</c:v>
                </c:pt>
                <c:pt idx="49">
                  <c:v>205.74</c:v>
                </c:pt>
                <c:pt idx="50">
                  <c:v>17.700000000000003</c:v>
                </c:pt>
                <c:pt idx="51">
                  <c:v>3.4799999999999995</c:v>
                </c:pt>
                <c:pt idx="52">
                  <c:v>3.4799999999999995</c:v>
                </c:pt>
                <c:pt idx="53">
                  <c:v>50.4</c:v>
                </c:pt>
                <c:pt idx="54">
                  <c:v>50.4</c:v>
                </c:pt>
                <c:pt idx="55">
                  <c:v>13.200000000000001</c:v>
                </c:pt>
                <c:pt idx="56">
                  <c:v>10.199999999999999</c:v>
                </c:pt>
                <c:pt idx="57">
                  <c:v>15</c:v>
                </c:pt>
                <c:pt idx="58">
                  <c:v>59.4</c:v>
                </c:pt>
                <c:pt idx="59">
                  <c:v>15</c:v>
                </c:pt>
                <c:pt idx="60">
                  <c:v>45</c:v>
                </c:pt>
                <c:pt idx="61">
                  <c:v>81.599999999999994</c:v>
                </c:pt>
                <c:pt idx="62">
                  <c:v>19.899999999999999</c:v>
                </c:pt>
                <c:pt idx="63">
                  <c:v>39.599999999999994</c:v>
                </c:pt>
                <c:pt idx="64">
                  <c:v>39.799999999999997</c:v>
                </c:pt>
                <c:pt idx="65">
                  <c:v>15.299999999999999</c:v>
                </c:pt>
                <c:pt idx="66">
                  <c:v>88.5</c:v>
                </c:pt>
                <c:pt idx="67">
                  <c:v>15</c:v>
                </c:pt>
                <c:pt idx="68">
                  <c:v>25.200000000000003</c:v>
                </c:pt>
                <c:pt idx="69">
                  <c:v>1188</c:v>
                </c:pt>
                <c:pt idx="70">
                  <c:v>32.700000000000003</c:v>
                </c:pt>
                <c:pt idx="71">
                  <c:v>25.4</c:v>
                </c:pt>
                <c:pt idx="72">
                  <c:v>17.700000000000003</c:v>
                </c:pt>
                <c:pt idx="73">
                  <c:v>15.299999999999999</c:v>
                </c:pt>
                <c:pt idx="74">
                  <c:v>17</c:v>
                </c:pt>
                <c:pt idx="75">
                  <c:v>15</c:v>
                </c:pt>
                <c:pt idx="76">
                  <c:v>12.5</c:v>
                </c:pt>
                <c:pt idx="77">
                  <c:v>12.5</c:v>
                </c:pt>
                <c:pt idx="78">
                  <c:v>30</c:v>
                </c:pt>
                <c:pt idx="79">
                  <c:v>15</c:v>
                </c:pt>
                <c:pt idx="80">
                  <c:v>15</c:v>
                </c:pt>
                <c:pt idx="81">
                  <c:v>17.700000000000003</c:v>
                </c:pt>
                <c:pt idx="82">
                  <c:v>15</c:v>
                </c:pt>
                <c:pt idx="83">
                  <c:v>39.6</c:v>
                </c:pt>
                <c:pt idx="84">
                  <c:v>178.5</c:v>
                </c:pt>
                <c:pt idx="85">
                  <c:v>20.34</c:v>
                </c:pt>
                <c:pt idx="86">
                  <c:v>180</c:v>
                </c:pt>
                <c:pt idx="87">
                  <c:v>13.2</c:v>
                </c:pt>
                <c:pt idx="88">
                  <c:v>167.04</c:v>
                </c:pt>
                <c:pt idx="89">
                  <c:v>20.28</c:v>
                </c:pt>
                <c:pt idx="90">
                  <c:v>75</c:v>
                </c:pt>
                <c:pt idx="91">
                  <c:v>20.28</c:v>
                </c:pt>
                <c:pt idx="92">
                  <c:v>22.5</c:v>
                </c:pt>
                <c:pt idx="93">
                  <c:v>22.5</c:v>
                </c:pt>
                <c:pt idx="94">
                  <c:v>25.919999999999998</c:v>
                </c:pt>
                <c:pt idx="95">
                  <c:v>78.900000000000006</c:v>
                </c:pt>
                <c:pt idx="96">
                  <c:v>17.399999999999999</c:v>
                </c:pt>
                <c:pt idx="97">
                  <c:v>25.200000000000003</c:v>
                </c:pt>
                <c:pt idx="98">
                  <c:v>61.199999999999996</c:v>
                </c:pt>
                <c:pt idx="99">
                  <c:v>70.800000000000011</c:v>
                </c:pt>
                <c:pt idx="100">
                  <c:v>23.4</c:v>
                </c:pt>
                <c:pt idx="101">
                  <c:v>5.04</c:v>
                </c:pt>
                <c:pt idx="102">
                  <c:v>45.9</c:v>
                </c:pt>
                <c:pt idx="103">
                  <c:v>31.200000000000003</c:v>
                </c:pt>
                <c:pt idx="104">
                  <c:v>15.9</c:v>
                </c:pt>
                <c:pt idx="105">
                  <c:v>20.399999999999999</c:v>
                </c:pt>
                <c:pt idx="106">
                  <c:v>61.199999999999996</c:v>
                </c:pt>
                <c:pt idx="107">
                  <c:v>17.399999999999999</c:v>
                </c:pt>
                <c:pt idx="108">
                  <c:v>29.700000000000003</c:v>
                </c:pt>
                <c:pt idx="109">
                  <c:v>20.399999999999999</c:v>
                </c:pt>
                <c:pt idx="110">
                  <c:v>34.799999999999997</c:v>
                </c:pt>
                <c:pt idx="111">
                  <c:v>13.52</c:v>
                </c:pt>
                <c:pt idx="112">
                  <c:v>23.4</c:v>
                </c:pt>
                <c:pt idx="113">
                  <c:v>17</c:v>
                </c:pt>
                <c:pt idx="114">
                  <c:v>9.8999999999999986</c:v>
                </c:pt>
                <c:pt idx="115">
                  <c:v>14.95</c:v>
                </c:pt>
                <c:pt idx="116">
                  <c:v>15.9</c:v>
                </c:pt>
                <c:pt idx="117">
                  <c:v>15.9</c:v>
                </c:pt>
                <c:pt idx="118">
                  <c:v>15.9</c:v>
                </c:pt>
                <c:pt idx="119">
                  <c:v>17.700000000000003</c:v>
                </c:pt>
                <c:pt idx="120">
                  <c:v>13.200000000000001</c:v>
                </c:pt>
                <c:pt idx="121">
                  <c:v>13.200000000000001</c:v>
                </c:pt>
                <c:pt idx="122">
                  <c:v>2.9</c:v>
                </c:pt>
                <c:pt idx="123">
                  <c:v>175.2</c:v>
                </c:pt>
                <c:pt idx="124">
                  <c:v>61.199999999999996</c:v>
                </c:pt>
                <c:pt idx="125">
                  <c:v>15.9</c:v>
                </c:pt>
                <c:pt idx="126">
                  <c:v>15.9</c:v>
                </c:pt>
                <c:pt idx="127">
                  <c:v>4.95</c:v>
                </c:pt>
                <c:pt idx="128">
                  <c:v>4.3499999999999996</c:v>
                </c:pt>
                <c:pt idx="129">
                  <c:v>27.650000000000002</c:v>
                </c:pt>
                <c:pt idx="130">
                  <c:v>30</c:v>
                </c:pt>
                <c:pt idx="131">
                  <c:v>14.850000000000001</c:v>
                </c:pt>
                <c:pt idx="132">
                  <c:v>17.700000000000003</c:v>
                </c:pt>
                <c:pt idx="133">
                  <c:v>15</c:v>
                </c:pt>
                <c:pt idx="134">
                  <c:v>17.700000000000003</c:v>
                </c:pt>
                <c:pt idx="135">
                  <c:v>13.52</c:v>
                </c:pt>
                <c:pt idx="136">
                  <c:v>6.8</c:v>
                </c:pt>
              </c:numCache>
            </c:numRef>
          </c:val>
          <c:extLst>
            <c:ext xmlns:c16="http://schemas.microsoft.com/office/drawing/2014/chart" uri="{C3380CC4-5D6E-409C-BE32-E72D297353CC}">
              <c16:uniqueId val="{00000000-456A-4E1B-9DDE-A870D38ECE3D}"/>
            </c:ext>
          </c:extLst>
        </c:ser>
        <c:ser>
          <c:idx val="1"/>
          <c:order val="1"/>
          <c:tx>
            <c:strRef>
              <c:f>'Pivot-Tables'!$G$4</c:f>
              <c:strCache>
                <c:ptCount val="1"/>
                <c:pt idx="0">
                  <c:v>Sum of Quantity</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'Pivot-Tables'!$E$5:$E$156</c:f>
              <c:multiLvlStrCache>
                <c:ptCount val="137"/>
                <c:lvl>
                  <c:pt idx="0">
                    <c:v>20 DOLLY PEGS RETROSPOT</c:v>
                  </c:pt>
                  <c:pt idx="1">
                    <c:v>5 HOOK HANGER MAGIC TOADSTOOL</c:v>
                  </c:pt>
                  <c:pt idx="2">
                    <c:v>6 CHOCOLATE LOVE HEART T-LIGHTS</c:v>
                  </c:pt>
                  <c:pt idx="3">
                    <c:v>60 CAKE CASES DOLLY GIRL DESIGN</c:v>
                  </c:pt>
                  <c:pt idx="4">
                    <c:v>60 TEATIME FAIRY CAKE CASES</c:v>
                  </c:pt>
                  <c:pt idx="5">
                    <c:v>72 SWEETHEART FAIRY CAKE CASES</c:v>
                  </c:pt>
                  <c:pt idx="6">
                    <c:v>AIRLINE BAG VINTAGE JET SET BROWN</c:v>
                  </c:pt>
                  <c:pt idx="7">
                    <c:v>ALARM CLOCK BAKELIKE CHOCOLATE</c:v>
                  </c:pt>
                  <c:pt idx="8">
                    <c:v>ALARM CLOCK BAKELIKE GREEN</c:v>
                  </c:pt>
                  <c:pt idx="9">
                    <c:v>ALARM CLOCK BAKELIKE PINK</c:v>
                  </c:pt>
                  <c:pt idx="10">
                    <c:v>ALARM CLOCK BAKELIKE RED </c:v>
                  </c:pt>
                  <c:pt idx="11">
                    <c:v>BLACK CANDELABRA T-LIGHT HOLDER</c:v>
                  </c:pt>
                  <c:pt idx="12">
                    <c:v>BLUE CHARLIE+LOLA PERSONAL DOORSIGN</c:v>
                  </c:pt>
                  <c:pt idx="13">
                    <c:v>BLUE FLOCK GLASS CANDLEHOLDER</c:v>
                  </c:pt>
                  <c:pt idx="14">
                    <c:v>BLUE HARMONICA IN BOX </c:v>
                  </c:pt>
                  <c:pt idx="15">
                    <c:v>BOX OF 24 COCKTAIL PARASOLS</c:v>
                  </c:pt>
                  <c:pt idx="16">
                    <c:v>BREAD BIN DINER STYLE IVORY</c:v>
                  </c:pt>
                  <c:pt idx="17">
                    <c:v>CARD CIRCUS PARADE</c:v>
                  </c:pt>
                  <c:pt idx="18">
                    <c:v>CERAMIC CAKE STAND + HANGING CAKES</c:v>
                  </c:pt>
                  <c:pt idx="19">
                    <c:v>CHARLIE+LOLA"EXTREMELY BUSY" SIGN</c:v>
                  </c:pt>
                  <c:pt idx="20">
                    <c:v>CHARLOTTE BAG SUKI DESIGN</c:v>
                  </c:pt>
                  <c:pt idx="21">
                    <c:v>CHILDREN'S APRON DOLLY GIRL </c:v>
                  </c:pt>
                  <c:pt idx="22">
                    <c:v>CHRISTMAS LIGHTS 10 REINDEER</c:v>
                  </c:pt>
                  <c:pt idx="23">
                    <c:v>COLOUR GLASS. STAR T-LIGHT HOLDER</c:v>
                  </c:pt>
                  <c:pt idx="24">
                    <c:v>CREAM CUPID HEARTS COAT HANGER</c:v>
                  </c:pt>
                  <c:pt idx="25">
                    <c:v>DOORMAT FANCY FONT HOME SWEET HOME</c:v>
                  </c:pt>
                  <c:pt idx="26">
                    <c:v>DOORMAT HOME SWEET HOME BLUE </c:v>
                  </c:pt>
                  <c:pt idx="27">
                    <c:v>DOORMAT RED RETROSPOT</c:v>
                  </c:pt>
                  <c:pt idx="28">
                    <c:v>DOORMAT RESPECTABLE HOUSE</c:v>
                  </c:pt>
                  <c:pt idx="29">
                    <c:v>DOORMAT UNION JACK GUNS AND ROSES</c:v>
                  </c:pt>
                  <c:pt idx="30">
                    <c:v>EDWARDIAN PARASOL BLACK</c:v>
                  </c:pt>
                  <c:pt idx="31">
                    <c:v>FANCY FONT BIRTHDAY CARD, </c:v>
                  </c:pt>
                  <c:pt idx="32">
                    <c:v>FELTCRAFT CUSHION OWL</c:v>
                  </c:pt>
                  <c:pt idx="33">
                    <c:v>FELTCRAFT CUSHION RABBIT</c:v>
                  </c:pt>
                  <c:pt idx="34">
                    <c:v>FELTCRAFT PRINCESS LOLA DOLL</c:v>
                  </c:pt>
                  <c:pt idx="35">
                    <c:v>GREY HEART HOT WATER BOTTLE</c:v>
                  </c:pt>
                  <c:pt idx="36">
                    <c:v>GROW YOUR OWN PLANT IN A CAN </c:v>
                  </c:pt>
                  <c:pt idx="37">
                    <c:v>HAND WARMER BIRD DESIGN</c:v>
                  </c:pt>
                  <c:pt idx="38">
                    <c:v>JAM JAR WITH PINK LID</c:v>
                  </c:pt>
                  <c:pt idx="39">
                    <c:v>JAM MAKING SET WITH JARS</c:v>
                  </c:pt>
                  <c:pt idx="40">
                    <c:v>KNITTED UNION FLAG HOT WATER BOTTLE</c:v>
                  </c:pt>
                  <c:pt idx="41">
                    <c:v>LOLITA  DESIGN  COTTON TOTE BAG</c:v>
                  </c:pt>
                  <c:pt idx="42">
                    <c:v>LUNCH BAG  BLACK SKULL.</c:v>
                  </c:pt>
                  <c:pt idx="43">
                    <c:v>LUNCH BAG CARS BLUE</c:v>
                  </c:pt>
                  <c:pt idx="44">
                    <c:v>LUNCH BAG PINK POLKADOT</c:v>
                  </c:pt>
                  <c:pt idx="45">
                    <c:v>LUNCH BAG SUKI  DESIGN </c:v>
                  </c:pt>
                  <c:pt idx="46">
                    <c:v>MINI CAKE STAND WITH HANGING CAKES</c:v>
                  </c:pt>
                  <c:pt idx="47">
                    <c:v>MONEY BOX BISCUITS DESIGN</c:v>
                  </c:pt>
                  <c:pt idx="48">
                    <c:v>MULTI COLOUR SILVER T-LIGHT HOLDER</c:v>
                  </c:pt>
                  <c:pt idx="49">
                    <c:v>OCEAN SCENT CANDLE IN JEWELLED BOX</c:v>
                  </c:pt>
                  <c:pt idx="50">
                    <c:v>OFFICE MUG WARMER PINK</c:v>
                  </c:pt>
                  <c:pt idx="51">
                    <c:v>PACK OF 12 PINK POLKADOT TISSUES</c:v>
                  </c:pt>
                  <c:pt idx="52">
                    <c:v>PACK OF 12 WOODLAND TISSUES </c:v>
                  </c:pt>
                  <c:pt idx="53">
                    <c:v>PACK OF 60 PINK PAISLEY CAKE CASES</c:v>
                  </c:pt>
                  <c:pt idx="54">
                    <c:v>PACK OF 72 RETROSPOT CAKE CASES</c:v>
                  </c:pt>
                  <c:pt idx="55">
                    <c:v>PACK OF 72 SKULL CAKE CASES</c:v>
                  </c:pt>
                  <c:pt idx="56">
                    <c:v>PANDA AND BUNNIES STICKER SHEET</c:v>
                  </c:pt>
                  <c:pt idx="57">
                    <c:v>PINK BLUE FELT CRAFT TRINKET BOX</c:v>
                  </c:pt>
                  <c:pt idx="58">
                    <c:v>PLASTERS IN TIN WOODLAND ANIMALS</c:v>
                  </c:pt>
                  <c:pt idx="59">
                    <c:v>POSTAGE</c:v>
                  </c:pt>
                  <c:pt idx="60">
                    <c:v>RED  HARMONICA IN BOX </c:v>
                  </c:pt>
                  <c:pt idx="61">
                    <c:v>RED HANGING HEART T-LIGHT HOLDER</c:v>
                  </c:pt>
                  <c:pt idx="62">
                    <c:v>RED RETROSPOT ROUND CAKE TINS</c:v>
                  </c:pt>
                  <c:pt idx="63">
                    <c:v>RED TOADSTOOL LED NIGHT LIGHT</c:v>
                  </c:pt>
                  <c:pt idx="64">
                    <c:v>ROSE COTTAGE KEEPSAKE BOX </c:v>
                  </c:pt>
                  <c:pt idx="65">
                    <c:v>ROTATING SILVER ANGELS T-LIGHT HLDR</c:v>
                  </c:pt>
                  <c:pt idx="66">
                    <c:v>ROUND SNACK BOXES SET OF4 WOODLAND </c:v>
                  </c:pt>
                  <c:pt idx="67">
                    <c:v>SCENTED VELVET LOUNGE CANDLE </c:v>
                  </c:pt>
                  <c:pt idx="68">
                    <c:v>SET OF 20 KIDS COOKIE CUTTERS</c:v>
                  </c:pt>
                  <c:pt idx="69">
                    <c:v>SET OF 3 BABUSHKA STACKING TINS</c:v>
                  </c:pt>
                  <c:pt idx="70">
                    <c:v>SET OF 3 COLOURED  FLYING DUCKS</c:v>
                  </c:pt>
                  <c:pt idx="71">
                    <c:v>SET OF 3 GOLD FLYING DUCKS</c:v>
                  </c:pt>
                  <c:pt idx="72">
                    <c:v>SET OF 6 T-LIGHTS SANTA</c:v>
                  </c:pt>
                  <c:pt idx="73">
                    <c:v>SET OF 6 VINTAGE NOTELETS KIT</c:v>
                  </c:pt>
                  <c:pt idx="74">
                    <c:v>SET3 BOOK BOX GREEN GINGHAM FLOWER </c:v>
                  </c:pt>
                  <c:pt idx="75">
                    <c:v>SILVER GLITTER FLOWER VOTIVE HOLDER</c:v>
                  </c:pt>
                  <c:pt idx="76">
                    <c:v>SPACE CADET BLACK</c:v>
                  </c:pt>
                  <c:pt idx="77">
                    <c:v>SPACE OWL</c:v>
                  </c:pt>
                  <c:pt idx="78">
                    <c:v>STRAWBERRY CERAMIC TRINKET BOX</c:v>
                  </c:pt>
                  <c:pt idx="79">
                    <c:v>T-LIGHT GLASS FLUTED ANTIQUE</c:v>
                  </c:pt>
                  <c:pt idx="80">
                    <c:v>VINTAGE HEADS AND TAILS CARD GAME </c:v>
                  </c:pt>
                  <c:pt idx="81">
                    <c:v>VINTAGE PAISLEY STATIONERY SET</c:v>
                  </c:pt>
                  <c:pt idx="82">
                    <c:v>VINTAGE SNAKES &amp; LADDERS</c:v>
                  </c:pt>
                  <c:pt idx="83">
                    <c:v>VINTAGE UNION JACK CUSHION COVER</c:v>
                  </c:pt>
                  <c:pt idx="84">
                    <c:v>WHITE HANGING HEART T-LIGHT HOLDER</c:v>
                  </c:pt>
                  <c:pt idx="85">
                    <c:v>WHITE METAL LANTERN</c:v>
                  </c:pt>
                  <c:pt idx="86">
                    <c:v>WOODEN OWLS LIGHT GARLAND </c:v>
                  </c:pt>
                  <c:pt idx="87">
                    <c:v>WOODLAND PARTY BAG + STICKER SET</c:v>
                  </c:pt>
                  <c:pt idx="88">
                    <c:v>WORLD WAR 2 GLIDERS ASSTD DESIGNS</c:v>
                  </c:pt>
                  <c:pt idx="89">
                    <c:v>YOU'RE CONFUSING ME METAL SIGN </c:v>
                  </c:pt>
                  <c:pt idx="90">
                    <c:v>4 TRADITIONAL SPINNING TOPS</c:v>
                  </c:pt>
                  <c:pt idx="91">
                    <c:v>BEWARE OF THE CAT METAL SIGN </c:v>
                  </c:pt>
                  <c:pt idx="92">
                    <c:v>CHARLIE &amp; LOLA WASTEPAPER BIN BLUE</c:v>
                  </c:pt>
                  <c:pt idx="93">
                    <c:v>CHARLIE &amp; LOLA WASTEPAPER BIN FLORA</c:v>
                  </c:pt>
                  <c:pt idx="94">
                    <c:v>GIN &amp; TONIC DIET GREETING CARD </c:v>
                  </c:pt>
                  <c:pt idx="95">
                    <c:v>GREEN REGENCY TEACUP AND SAUCER</c:v>
                  </c:pt>
                  <c:pt idx="96">
                    <c:v>LAUNDRY 15C METAL SIGN</c:v>
                  </c:pt>
                  <c:pt idx="97">
                    <c:v>NO SINGING METAL SIGN</c:v>
                  </c:pt>
                  <c:pt idx="98">
                    <c:v>ROSES REGENCY TEACUP AND SAUCER </c:v>
                  </c:pt>
                  <c:pt idx="99">
                    <c:v>SET 3 PAPER VINTAGE CHICK PAPER EGG</c:v>
                  </c:pt>
                  <c:pt idx="100">
                    <c:v>3 HOOK HANGER MAGIC GARDEN</c:v>
                  </c:pt>
                  <c:pt idx="101">
                    <c:v>ASSORTED BOTTLE TOP  MAGNETS </c:v>
                  </c:pt>
                  <c:pt idx="102">
                    <c:v>BAKING MOULD HEART MILK CHOCOLATE</c:v>
                  </c:pt>
                  <c:pt idx="103">
                    <c:v>COLOUR GLASS T-LIGHT HOLDER HANGING</c:v>
                  </c:pt>
                  <c:pt idx="104">
                    <c:v>DOORMAT UNION FLAG</c:v>
                  </c:pt>
                  <c:pt idx="105">
                    <c:v>HOOK, 1 HANGER ,MAGIC GARDEN</c:v>
                  </c:pt>
                  <c:pt idx="106">
                    <c:v>LADIES &amp; GENTLEMEN METAL SIGN</c:v>
                  </c:pt>
                  <c:pt idx="107">
                    <c:v>LAUNDRY 15C METAL SIGN</c:v>
                  </c:pt>
                  <c:pt idx="108">
                    <c:v>RETROSPOT HEART HOT WATER BOTTLE</c:v>
                  </c:pt>
                  <c:pt idx="109">
                    <c:v>T-LIGHT HOLDER WHITE LACE</c:v>
                  </c:pt>
                  <c:pt idx="110">
                    <c:v>WASHROOM METAL SIGN</c:v>
                  </c:pt>
                  <c:pt idx="111">
                    <c:v>ASSORTED COLOUR BIRD ORNAMENT</c:v>
                  </c:pt>
                  <c:pt idx="112">
                    <c:v>BOX OF 9 PEBBLE CANDLES</c:v>
                  </c:pt>
                  <c:pt idx="113">
                    <c:v>SILVER STANDING GNOME   </c:v>
                  </c:pt>
                  <c:pt idx="114">
                    <c:v>TUMBLER, BAROQUE</c:v>
                  </c:pt>
                  <c:pt idx="115">
                    <c:v>3 TIER CAKE TIN GREEN AND CREAM</c:v>
                  </c:pt>
                  <c:pt idx="116">
                    <c:v>DOORMAT MULTICOLOUR STRIPE</c:v>
                  </c:pt>
                  <c:pt idx="117">
                    <c:v>DOORMAT RED RETROSPOT</c:v>
                  </c:pt>
                  <c:pt idx="118">
                    <c:v>DOORMAT WELCOME SUNRISE</c:v>
                  </c:pt>
                  <c:pt idx="119">
                    <c:v>NATURAL SLATE HEART CHALKBOARD </c:v>
                  </c:pt>
                  <c:pt idx="120">
                    <c:v>PACK OF 60 PINK PAISLEY CAKE CASES</c:v>
                  </c:pt>
                  <c:pt idx="121">
                    <c:v>PACK OF 72 SKULL CAKE CASES</c:v>
                  </c:pt>
                  <c:pt idx="122">
                    <c:v>PANTRY WASHING UP BRUSH</c:v>
                  </c:pt>
                  <c:pt idx="123">
                    <c:v>REGENCY CAKESTAND 3 TIER</c:v>
                  </c:pt>
                  <c:pt idx="124">
                    <c:v>ROSES REGENCY TEACUP AND SAUCER </c:v>
                  </c:pt>
                  <c:pt idx="125">
                    <c:v>ROUND CAKE TIN VINTAGE GREEN</c:v>
                  </c:pt>
                  <c:pt idx="126">
                    <c:v>ROUND CAKE TIN VINTAGE RED</c:v>
                  </c:pt>
                  <c:pt idx="127">
                    <c:v>SET OF 3 CAKE TINS PANTRY DESIGN </c:v>
                  </c:pt>
                  <c:pt idx="128">
                    <c:v>SET OF 36 TEATIME PAPER DOILIES</c:v>
                  </c:pt>
                  <c:pt idx="129">
                    <c:v>SET OF 6 SPICE TINS PANTRY DESIGN</c:v>
                  </c:pt>
                  <c:pt idx="130">
                    <c:v>GROW A FLYTRAP OR SUNFLOWER IN TIN</c:v>
                  </c:pt>
                  <c:pt idx="131">
                    <c:v>LANTERN CREAM GAZEBO </c:v>
                  </c:pt>
                  <c:pt idx="132">
                    <c:v>RED HANGING HEART T-LIGHT HOLDER</c:v>
                  </c:pt>
                  <c:pt idx="133">
                    <c:v>SET OF 6 GIRLS CELEBRATION CANDLES</c:v>
                  </c:pt>
                  <c:pt idx="134">
                    <c:v>WHITE HANGING HEART T-LIGHT HOLDER</c:v>
                  </c:pt>
                  <c:pt idx="135">
                    <c:v>PINK  POLKADOT PLATE </c:v>
                  </c:pt>
                  <c:pt idx="136">
                    <c:v>RED RETROSPOT CUP</c:v>
                  </c:pt>
                </c:lvl>
                <c:lvl>
                  <c:pt idx="0">
                    <c:v>Dec</c:v>
                  </c:pt>
                  <c:pt idx="90">
                    <c:v>Jan</c:v>
                  </c:pt>
                  <c:pt idx="100">
                    <c:v>Feb</c:v>
                  </c:pt>
                  <c:pt idx="111">
                    <c:v>Mar</c:v>
                  </c:pt>
                  <c:pt idx="115">
                    <c:v>Apr</c:v>
                  </c:pt>
                  <c:pt idx="130">
                    <c:v>May</c:v>
                  </c:pt>
                  <c:pt idx="131">
                    <c:v>Jun</c:v>
                  </c:pt>
                  <c:pt idx="135">
                    <c:v>Oct</c:v>
                  </c:pt>
                </c:lvl>
                <c:lvl>
                  <c:pt idx="0">
                    <c:v>Qtr4</c:v>
                  </c:pt>
                  <c:pt idx="90">
                    <c:v>Qtr1</c:v>
                  </c:pt>
                  <c:pt idx="115">
                    <c:v>Qtr2</c:v>
                  </c:pt>
                  <c:pt idx="135">
                    <c:v>Qtr4</c:v>
                  </c:pt>
                </c:lvl>
                <c:lvl>
                  <c:pt idx="0">
                    <c:v>2010</c:v>
                  </c:pt>
                  <c:pt idx="90">
                    <c:v>2011</c:v>
                  </c:pt>
                </c:lvl>
              </c:multiLvlStrCache>
            </c:multiLvlStrRef>
          </c:cat>
          <c:val>
            <c:numRef>
              <c:f>'Pivot-Tables'!$G$5:$G$156</c:f>
              <c:numCache>
                <c:formatCode>General</c:formatCode>
                <c:ptCount val="137"/>
                <c:pt idx="0">
                  <c:v>24</c:v>
                </c:pt>
                <c:pt idx="1">
                  <c:v>12</c:v>
                </c:pt>
                <c:pt idx="2">
                  <c:v>6</c:v>
                </c:pt>
                <c:pt idx="3">
                  <c:v>312</c:v>
                </c:pt>
                <c:pt idx="4">
                  <c:v>144</c:v>
                </c:pt>
                <c:pt idx="5">
                  <c:v>72</c:v>
                </c:pt>
                <c:pt idx="6">
                  <c:v>4</c:v>
                </c:pt>
                <c:pt idx="7">
                  <c:v>4</c:v>
                </c:pt>
                <c:pt idx="8">
                  <c:v>16</c:v>
                </c:pt>
                <c:pt idx="9">
                  <c:v>24</c:v>
                </c:pt>
                <c:pt idx="10">
                  <c:v>24</c:v>
                </c:pt>
                <c:pt idx="11">
                  <c:v>12</c:v>
                </c:pt>
                <c:pt idx="12">
                  <c:v>6</c:v>
                </c:pt>
                <c:pt idx="13">
                  <c:v>6</c:v>
                </c:pt>
                <c:pt idx="14">
                  <c:v>12</c:v>
                </c:pt>
                <c:pt idx="15">
                  <c:v>50</c:v>
                </c:pt>
                <c:pt idx="16">
                  <c:v>8</c:v>
                </c:pt>
                <c:pt idx="17">
                  <c:v>12</c:v>
                </c:pt>
                <c:pt idx="18">
                  <c:v>8</c:v>
                </c:pt>
                <c:pt idx="19">
                  <c:v>6</c:v>
                </c:pt>
                <c:pt idx="20">
                  <c:v>50</c:v>
                </c:pt>
                <c:pt idx="21">
                  <c:v>8</c:v>
                </c:pt>
                <c:pt idx="22">
                  <c:v>6</c:v>
                </c:pt>
                <c:pt idx="23">
                  <c:v>12</c:v>
                </c:pt>
                <c:pt idx="24">
                  <c:v>8</c:v>
                </c:pt>
                <c:pt idx="25">
                  <c:v>2</c:v>
                </c:pt>
                <c:pt idx="26">
                  <c:v>2</c:v>
                </c:pt>
                <c:pt idx="27">
                  <c:v>2</c:v>
                </c:pt>
                <c:pt idx="28">
                  <c:v>2</c:v>
                </c:pt>
                <c:pt idx="29">
                  <c:v>2</c:v>
                </c:pt>
                <c:pt idx="30">
                  <c:v>12</c:v>
                </c:pt>
                <c:pt idx="31">
                  <c:v>12</c:v>
                </c:pt>
                <c:pt idx="32">
                  <c:v>4</c:v>
                </c:pt>
                <c:pt idx="33">
                  <c:v>4</c:v>
                </c:pt>
                <c:pt idx="34">
                  <c:v>4</c:v>
                </c:pt>
                <c:pt idx="35">
                  <c:v>10</c:v>
                </c:pt>
                <c:pt idx="36">
                  <c:v>96</c:v>
                </c:pt>
                <c:pt idx="37">
                  <c:v>96</c:v>
                </c:pt>
                <c:pt idx="38">
                  <c:v>12</c:v>
                </c:pt>
                <c:pt idx="39">
                  <c:v>6</c:v>
                </c:pt>
                <c:pt idx="40">
                  <c:v>6</c:v>
                </c:pt>
                <c:pt idx="41">
                  <c:v>6</c:v>
                </c:pt>
                <c:pt idx="42">
                  <c:v>60</c:v>
                </c:pt>
                <c:pt idx="43">
                  <c:v>14</c:v>
                </c:pt>
                <c:pt idx="44">
                  <c:v>100</c:v>
                </c:pt>
                <c:pt idx="45">
                  <c:v>80</c:v>
                </c:pt>
                <c:pt idx="46">
                  <c:v>16</c:v>
                </c:pt>
                <c:pt idx="47">
                  <c:v>12</c:v>
                </c:pt>
                <c:pt idx="48">
                  <c:v>12</c:v>
                </c:pt>
                <c:pt idx="49">
                  <c:v>54</c:v>
                </c:pt>
                <c:pt idx="50">
                  <c:v>6</c:v>
                </c:pt>
                <c:pt idx="51">
                  <c:v>12</c:v>
                </c:pt>
                <c:pt idx="52">
                  <c:v>12</c:v>
                </c:pt>
                <c:pt idx="53">
                  <c:v>120</c:v>
                </c:pt>
                <c:pt idx="54">
                  <c:v>120</c:v>
                </c:pt>
                <c:pt idx="55">
                  <c:v>24</c:v>
                </c:pt>
                <c:pt idx="56">
                  <c:v>12</c:v>
                </c:pt>
                <c:pt idx="57">
                  <c:v>12</c:v>
                </c:pt>
                <c:pt idx="58">
                  <c:v>36</c:v>
                </c:pt>
                <c:pt idx="59">
                  <c:v>1</c:v>
                </c:pt>
                <c:pt idx="60">
                  <c:v>36</c:v>
                </c:pt>
                <c:pt idx="61">
                  <c:v>32</c:v>
                </c:pt>
                <c:pt idx="62">
                  <c:v>2</c:v>
                </c:pt>
                <c:pt idx="63">
                  <c:v>24</c:v>
                </c:pt>
                <c:pt idx="64">
                  <c:v>4</c:v>
                </c:pt>
                <c:pt idx="65">
                  <c:v>6</c:v>
                </c:pt>
                <c:pt idx="66">
                  <c:v>30</c:v>
                </c:pt>
                <c:pt idx="67">
                  <c:v>12</c:v>
                </c:pt>
                <c:pt idx="68">
                  <c:v>12</c:v>
                </c:pt>
                <c:pt idx="69">
                  <c:v>240</c:v>
                </c:pt>
                <c:pt idx="70">
                  <c:v>6</c:v>
                </c:pt>
                <c:pt idx="71">
                  <c:v>4</c:v>
                </c:pt>
                <c:pt idx="72">
                  <c:v>6</c:v>
                </c:pt>
                <c:pt idx="73">
                  <c:v>6</c:v>
                </c:pt>
                <c:pt idx="74">
                  <c:v>4</c:v>
                </c:pt>
                <c:pt idx="75">
                  <c:v>12</c:v>
                </c:pt>
                <c:pt idx="76">
                  <c:v>10</c:v>
                </c:pt>
                <c:pt idx="77">
                  <c:v>10</c:v>
                </c:pt>
                <c:pt idx="78">
                  <c:v>24</c:v>
                </c:pt>
                <c:pt idx="79">
                  <c:v>12</c:v>
                </c:pt>
                <c:pt idx="80">
                  <c:v>12</c:v>
                </c:pt>
                <c:pt idx="81">
                  <c:v>6</c:v>
                </c:pt>
                <c:pt idx="82">
                  <c:v>4</c:v>
                </c:pt>
                <c:pt idx="83">
                  <c:v>8</c:v>
                </c:pt>
                <c:pt idx="84">
                  <c:v>70</c:v>
                </c:pt>
                <c:pt idx="85">
                  <c:v>6</c:v>
                </c:pt>
                <c:pt idx="86">
                  <c:v>48</c:v>
                </c:pt>
                <c:pt idx="87">
                  <c:v>8</c:v>
                </c:pt>
                <c:pt idx="88">
                  <c:v>576</c:v>
                </c:pt>
                <c:pt idx="89">
                  <c:v>12</c:v>
                </c:pt>
                <c:pt idx="90">
                  <c:v>60</c:v>
                </c:pt>
                <c:pt idx="91">
                  <c:v>12</c:v>
                </c:pt>
                <c:pt idx="92">
                  <c:v>6</c:v>
                </c:pt>
                <c:pt idx="93">
                  <c:v>6</c:v>
                </c:pt>
                <c:pt idx="94">
                  <c:v>72</c:v>
                </c:pt>
                <c:pt idx="95">
                  <c:v>30</c:v>
                </c:pt>
                <c:pt idx="96">
                  <c:v>12</c:v>
                </c:pt>
                <c:pt idx="97">
                  <c:v>12</c:v>
                </c:pt>
                <c:pt idx="98">
                  <c:v>24</c:v>
                </c:pt>
                <c:pt idx="99">
                  <c:v>24</c:v>
                </c:pt>
                <c:pt idx="100">
                  <c:v>12</c:v>
                </c:pt>
                <c:pt idx="101">
                  <c:v>12</c:v>
                </c:pt>
                <c:pt idx="102">
                  <c:v>18</c:v>
                </c:pt>
                <c:pt idx="103">
                  <c:v>48</c:v>
                </c:pt>
                <c:pt idx="104">
                  <c:v>2</c:v>
                </c:pt>
                <c:pt idx="105">
                  <c:v>24</c:v>
                </c:pt>
                <c:pt idx="106">
                  <c:v>24</c:v>
                </c:pt>
                <c:pt idx="107">
                  <c:v>12</c:v>
                </c:pt>
                <c:pt idx="108">
                  <c:v>6</c:v>
                </c:pt>
                <c:pt idx="109">
                  <c:v>24</c:v>
                </c:pt>
                <c:pt idx="110">
                  <c:v>24</c:v>
                </c:pt>
                <c:pt idx="111">
                  <c:v>8</c:v>
                </c:pt>
                <c:pt idx="112">
                  <c:v>12</c:v>
                </c:pt>
                <c:pt idx="113">
                  <c:v>4</c:v>
                </c:pt>
                <c:pt idx="114">
                  <c:v>6</c:v>
                </c:pt>
                <c:pt idx="115">
                  <c:v>1</c:v>
                </c:pt>
                <c:pt idx="116">
                  <c:v>2</c:v>
                </c:pt>
                <c:pt idx="117">
                  <c:v>2</c:v>
                </c:pt>
                <c:pt idx="118">
                  <c:v>2</c:v>
                </c:pt>
                <c:pt idx="119">
                  <c:v>6</c:v>
                </c:pt>
                <c:pt idx="120">
                  <c:v>24</c:v>
                </c:pt>
                <c:pt idx="121">
                  <c:v>24</c:v>
                </c:pt>
                <c:pt idx="122">
                  <c:v>2</c:v>
                </c:pt>
                <c:pt idx="123">
                  <c:v>16</c:v>
                </c:pt>
                <c:pt idx="124">
                  <c:v>24</c:v>
                </c:pt>
                <c:pt idx="125">
                  <c:v>2</c:v>
                </c:pt>
                <c:pt idx="126">
                  <c:v>2</c:v>
                </c:pt>
                <c:pt idx="127">
                  <c:v>1</c:v>
                </c:pt>
                <c:pt idx="128">
                  <c:v>3</c:v>
                </c:pt>
                <c:pt idx="129">
                  <c:v>7</c:v>
                </c:pt>
                <c:pt idx="130">
                  <c:v>24</c:v>
                </c:pt>
                <c:pt idx="131">
                  <c:v>3</c:v>
                </c:pt>
                <c:pt idx="132">
                  <c:v>6</c:v>
                </c:pt>
                <c:pt idx="133">
                  <c:v>12</c:v>
                </c:pt>
                <c:pt idx="134">
                  <c:v>6</c:v>
                </c:pt>
                <c:pt idx="135">
                  <c:v>8</c:v>
                </c:pt>
                <c:pt idx="136">
                  <c:v>8</c:v>
                </c:pt>
              </c:numCache>
            </c:numRef>
          </c:val>
          <c:extLst>
            <c:ext xmlns:c16="http://schemas.microsoft.com/office/drawing/2014/chart" uri="{C3380CC4-5D6E-409C-BE32-E72D297353CC}">
              <c16:uniqueId val="{00000001-456A-4E1B-9DDE-A870D38ECE3D}"/>
            </c:ext>
          </c:extLst>
        </c:ser>
        <c:dLbls>
          <c:dLblPos val="outEnd"/>
          <c:showLegendKey val="0"/>
          <c:showVal val="1"/>
          <c:showCatName val="0"/>
          <c:showSerName val="0"/>
          <c:showPercent val="0"/>
          <c:showBubbleSize val="0"/>
        </c:dLbls>
        <c:gapWidth val="444"/>
        <c:overlap val="-90"/>
        <c:axId val="877670688"/>
        <c:axId val="2096929200"/>
      </c:barChart>
      <c:catAx>
        <c:axId val="87767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96929200"/>
        <c:crosses val="autoZero"/>
        <c:auto val="1"/>
        <c:lblAlgn val="ctr"/>
        <c:lblOffset val="100"/>
        <c:noMultiLvlLbl val="0"/>
      </c:catAx>
      <c:valAx>
        <c:axId val="2096929200"/>
        <c:scaling>
          <c:orientation val="minMax"/>
        </c:scaling>
        <c:delete val="1"/>
        <c:axPos val="l"/>
        <c:numFmt formatCode="&quot;$&quot;#,##0.00" sourceLinked="1"/>
        <c:majorTickMark val="out"/>
        <c:minorTickMark val="none"/>
        <c:tickLblPos val="nextTo"/>
        <c:crossAx val="87767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1" i="0" u="none" strike="noStrike" kern="1200" cap="none" spc="0" normalizeH="0" baseline="0" noProof="0">
                <a:ln>
                  <a:noFill/>
                </a:ln>
                <a:solidFill>
                  <a:sysClr val="windowText" lastClr="000000">
                    <a:lumMod val="65000"/>
                    <a:lumOff val="35000"/>
                  </a:sysClr>
                </a:solidFill>
                <a:effectLst/>
                <a:uLnTx/>
                <a:uFillTx/>
                <a:latin typeface="Aptos Narrow" panose="02110004020202020204"/>
              </a:rPr>
              <a:t>Product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979328526284543E-2"/>
          <c:y val="8.7118212585445665E-2"/>
          <c:w val="0.87845673947075908"/>
          <c:h val="0.43659232785711877"/>
        </c:manualLayout>
      </c:layout>
      <c:barChart>
        <c:barDir val="col"/>
        <c:grouping val="clustered"/>
        <c:varyColors val="0"/>
        <c:ser>
          <c:idx val="0"/>
          <c:order val="0"/>
          <c:spPr>
            <a:solidFill>
              <a:schemeClr val="accent1"/>
            </a:solidFill>
            <a:ln>
              <a:noFill/>
            </a:ln>
            <a:effectLst/>
          </c:spPr>
          <c:invertIfNegative val="0"/>
          <c:cat>
            <c:strRef>
              <c:f>'Online-Retail-Dataset'!$C$3:$C$147</c:f>
              <c:strCache>
                <c:ptCount val="145"/>
                <c:pt idx="0">
                  <c:v>WHITE HANGING HEART T-LIGHT HOLDER</c:v>
                </c:pt>
                <c:pt idx="1">
                  <c:v>WHITE METAL LANTERN</c:v>
                </c:pt>
                <c:pt idx="2">
                  <c:v>CREAM CUPID HEARTS COAT HANGER</c:v>
                </c:pt>
                <c:pt idx="3">
                  <c:v>KNITTED UNION FLAG HOT WATER BOTTLE</c:v>
                </c:pt>
                <c:pt idx="4">
                  <c:v>ALARM CLOCK BAKELIKE PINK</c:v>
                </c:pt>
                <c:pt idx="5">
                  <c:v>ALARM CLOCK BAKELIKE RED </c:v>
                </c:pt>
                <c:pt idx="6">
                  <c:v>ALARM CLOCK BAKELIKE GREEN</c:v>
                </c:pt>
                <c:pt idx="7">
                  <c:v>PANDA AND BUNNIES STICKER SHEET</c:v>
                </c:pt>
                <c:pt idx="8">
                  <c:v>CHRISTMAS LIGHTS 10 REINDEER</c:v>
                </c:pt>
                <c:pt idx="9">
                  <c:v>VINTAGE UNION JACK CUSHION COVER</c:v>
                </c:pt>
                <c:pt idx="10">
                  <c:v>VINTAGE HEADS AND TAILS CARD GAME </c:v>
                </c:pt>
                <c:pt idx="11">
                  <c:v>SET OF 3 COLOURED  FLYING DUCKS</c:v>
                </c:pt>
                <c:pt idx="12">
                  <c:v>SET OF 3 GOLD FLYING DUCKS</c:v>
                </c:pt>
                <c:pt idx="13">
                  <c:v>HAND WARMER BIRD DESIGN</c:v>
                </c:pt>
                <c:pt idx="14">
                  <c:v>POSTAGE</c:v>
                </c:pt>
                <c:pt idx="15">
                  <c:v>SET OF 6 T-LIGHTS SANTA</c:v>
                </c:pt>
                <c:pt idx="16">
                  <c:v>ROTATING SILVER ANGELS T-LIGHT HLDR</c:v>
                </c:pt>
                <c:pt idx="17">
                  <c:v>MULTI COLOUR SILVER T-LIGHT HOLDER</c:v>
                </c:pt>
                <c:pt idx="18">
                  <c:v>5 HOOK HANGER MAGIC TOADSTOOL</c:v>
                </c:pt>
                <c:pt idx="19">
                  <c:v>BOX OF 24 COCKTAIL PARASOLS</c:v>
                </c:pt>
                <c:pt idx="20">
                  <c:v>GROW YOUR OWN PLANT IN A CAN </c:v>
                </c:pt>
                <c:pt idx="21">
                  <c:v>CHILDREN'S APRON DOLLY GIRL </c:v>
                </c:pt>
                <c:pt idx="22">
                  <c:v>ROSE COTTAGE KEEPSAKE BOX </c:v>
                </c:pt>
                <c:pt idx="23">
                  <c:v>BLUE CHARLIE+LOLA PERSONAL DOORSIGN</c:v>
                </c:pt>
                <c:pt idx="24">
                  <c:v>CHARLIE+LOLA"EXTREMELY BUSY" SIGN</c:v>
                </c:pt>
                <c:pt idx="25">
                  <c:v>CHARLOTTE BAG SUKI DESIGN</c:v>
                </c:pt>
                <c:pt idx="26">
                  <c:v>LOLITA  DESIGN  COTTON TOTE BAG</c:v>
                </c:pt>
                <c:pt idx="27">
                  <c:v>ALARM CLOCK BAKELIKE CHOCOLATE</c:v>
                </c:pt>
                <c:pt idx="28">
                  <c:v>ALARM CLOCK BAKELIKE GREEN</c:v>
                </c:pt>
                <c:pt idx="29">
                  <c:v>JAM MAKING SET WITH JARS</c:v>
                </c:pt>
                <c:pt idx="30">
                  <c:v>FELTCRAFT CUSHION OWL</c:v>
                </c:pt>
                <c:pt idx="31">
                  <c:v>FELTCRAFT CUSHION RABBIT</c:v>
                </c:pt>
                <c:pt idx="32">
                  <c:v>PINK BLUE FELT CRAFT TRINKET BOX</c:v>
                </c:pt>
                <c:pt idx="33">
                  <c:v>FELTCRAFT PRINCESS LOLA DOLL</c:v>
                </c:pt>
                <c:pt idx="34">
                  <c:v>VINTAGE SNAKES &amp; LADDERS</c:v>
                </c:pt>
                <c:pt idx="35">
                  <c:v>BLUE HARMONICA IN BOX </c:v>
                </c:pt>
                <c:pt idx="36">
                  <c:v>GREY HEART HOT WATER BOTTLE</c:v>
                </c:pt>
                <c:pt idx="37">
                  <c:v>ROUND SNACK BOXES SET OF4 WOODLAND </c:v>
                </c:pt>
                <c:pt idx="38">
                  <c:v>PLASTERS IN TIN WOODLAND ANIMALS</c:v>
                </c:pt>
                <c:pt idx="39">
                  <c:v>RED TOADSTOOL LED NIGHT LIGHT</c:v>
                </c:pt>
                <c:pt idx="40">
                  <c:v>LUNCH BAG SUKI  DESIGN </c:v>
                </c:pt>
                <c:pt idx="41">
                  <c:v>LUNCH BAG PINK POLKADOT</c:v>
                </c:pt>
                <c:pt idx="42">
                  <c:v>LUNCH BAG  BLACK SKULL.</c:v>
                </c:pt>
                <c:pt idx="43">
                  <c:v>RED HANGING HEART T-LIGHT HOLDER</c:v>
                </c:pt>
                <c:pt idx="44">
                  <c:v>STRAWBERRY CERAMIC TRINKET BOX</c:v>
                </c:pt>
                <c:pt idx="45">
                  <c:v>MINI CAKE STAND WITH HANGING CAKES</c:v>
                </c:pt>
                <c:pt idx="46">
                  <c:v>VINTAGE PAISLEY STATIONERY SET</c:v>
                </c:pt>
                <c:pt idx="47">
                  <c:v>LUNCH BAG SUKI  DESIGN </c:v>
                </c:pt>
                <c:pt idx="48">
                  <c:v>LUNCH BAG CARS BLUE</c:v>
                </c:pt>
                <c:pt idx="49">
                  <c:v>T-LIGHT GLASS FLUTED ANTIQUE</c:v>
                </c:pt>
                <c:pt idx="50">
                  <c:v>SCENTED VELVET LOUNGE CANDLE </c:v>
                </c:pt>
                <c:pt idx="51">
                  <c:v>BLUE FLOCK GLASS CANDLEHOLDER</c:v>
                </c:pt>
                <c:pt idx="52">
                  <c:v>SILVER GLITTER FLOWER VOTIVE HOLDER</c:v>
                </c:pt>
                <c:pt idx="53">
                  <c:v>6 CHOCOLATE LOVE HEART T-LIGHTS</c:v>
                </c:pt>
                <c:pt idx="54">
                  <c:v>SET OF 20 KIDS COOKIE CUTTERS</c:v>
                </c:pt>
                <c:pt idx="55">
                  <c:v>RED RETROSPOT ROUND CAKE TINS</c:v>
                </c:pt>
                <c:pt idx="56">
                  <c:v>PACK OF 72 RETROSPOT CAKE CASES</c:v>
                </c:pt>
                <c:pt idx="57">
                  <c:v>PACK OF 60 PINK PAISLEY CAKE CASES</c:v>
                </c:pt>
                <c:pt idx="58">
                  <c:v>MONEY BOX BISCUITS DESIGN</c:v>
                </c:pt>
                <c:pt idx="59">
                  <c:v>RED  HARMONICA IN BOX </c:v>
                </c:pt>
                <c:pt idx="60">
                  <c:v>EDWARDIAN PARASOL BLACK</c:v>
                </c:pt>
                <c:pt idx="61">
                  <c:v>SET OF 6 VINTAGE NOTELETS KIT</c:v>
                </c:pt>
                <c:pt idx="62">
                  <c:v>FANCY FONT BIRTHDAY CARD, </c:v>
                </c:pt>
                <c:pt idx="63">
                  <c:v>CARD CIRCUS PARADE</c:v>
                </c:pt>
                <c:pt idx="64">
                  <c:v>BLACK CANDELABRA T-LIGHT HOLDER</c:v>
                </c:pt>
                <c:pt idx="65">
                  <c:v>AIRLINE BAG VINTAGE JET SET BROWN</c:v>
                </c:pt>
                <c:pt idx="66">
                  <c:v>COLOUR GLASS. STAR T-LIGHT HOLDER</c:v>
                </c:pt>
                <c:pt idx="67">
                  <c:v>20 DOLLY PEGS RETROSPOT</c:v>
                </c:pt>
                <c:pt idx="68">
                  <c:v>DOORMAT HOME SWEET HOME BLUE </c:v>
                </c:pt>
                <c:pt idx="69">
                  <c:v>DOORMAT UNION JACK GUNS AND ROSES</c:v>
                </c:pt>
                <c:pt idx="70">
                  <c:v>DOORMAT RED RETROSPOT</c:v>
                </c:pt>
                <c:pt idx="71">
                  <c:v>DOORMAT FANCY FONT HOME SWEET HOME</c:v>
                </c:pt>
                <c:pt idx="72">
                  <c:v>YOU'RE CONFUSING ME METAL SIGN </c:v>
                </c:pt>
                <c:pt idx="73">
                  <c:v>BREAD BIN DINER STYLE IVORY</c:v>
                </c:pt>
                <c:pt idx="74">
                  <c:v>WOODEN OWLS LIGHT GARLAND </c:v>
                </c:pt>
                <c:pt idx="75">
                  <c:v>WOODLAND PARTY BAG + STICKER SET</c:v>
                </c:pt>
                <c:pt idx="76">
                  <c:v>DOORMAT RESPECTABLE HOUSE</c:v>
                </c:pt>
                <c:pt idx="77">
                  <c:v>WHITE HANGING HEART T-LIGHT HOLDER</c:v>
                </c:pt>
                <c:pt idx="78">
                  <c:v>SPACE CADET BLACK</c:v>
                </c:pt>
                <c:pt idx="79">
                  <c:v>SPACE OWL</c:v>
                </c:pt>
                <c:pt idx="80">
                  <c:v>SET OF 3 BABUSHKA STACKING TINS</c:v>
                </c:pt>
                <c:pt idx="81">
                  <c:v>72 SWEETHEART FAIRY CAKE CASES</c:v>
                </c:pt>
                <c:pt idx="82">
                  <c:v>60 CAKE CASES DOLLY GIRL DESIGN</c:v>
                </c:pt>
                <c:pt idx="83">
                  <c:v>60 TEATIME FAIRY CAKE CASES</c:v>
                </c:pt>
                <c:pt idx="84">
                  <c:v>60 TEATIME FAIRY CAKE CASES</c:v>
                </c:pt>
                <c:pt idx="85">
                  <c:v>PACK OF 72 SKULL CAKE CASES</c:v>
                </c:pt>
                <c:pt idx="86">
                  <c:v>CERAMIC CAKE STAND + HANGING CAKES</c:v>
                </c:pt>
                <c:pt idx="87">
                  <c:v>MINI CAKE STAND WITH HANGING CAKES</c:v>
                </c:pt>
                <c:pt idx="88">
                  <c:v>JAM JAR WITH PINK LID</c:v>
                </c:pt>
                <c:pt idx="89">
                  <c:v>SET3 BOOK BOX GREEN GINGHAM FLOWER </c:v>
                </c:pt>
                <c:pt idx="90">
                  <c:v>GREY HEART HOT WATER BOTTLE</c:v>
                </c:pt>
                <c:pt idx="91">
                  <c:v>OFFICE MUG WARMER PINK</c:v>
                </c:pt>
                <c:pt idx="92">
                  <c:v>WORLD WAR 2 GLIDERS ASSTD DESIGNS</c:v>
                </c:pt>
                <c:pt idx="93">
                  <c:v>60 CAKE CASES DOLLY GIRL DESIGN</c:v>
                </c:pt>
                <c:pt idx="94">
                  <c:v>PACK OF 12 WOODLAND TISSUES </c:v>
                </c:pt>
                <c:pt idx="95">
                  <c:v>PACK OF 12 PINK POLKADOT TISSUES</c:v>
                </c:pt>
                <c:pt idx="96">
                  <c:v>OCEAN SCENT CANDLE IN JEWELLED BOX</c:v>
                </c:pt>
                <c:pt idx="97">
                  <c:v>ROSES REGENCY TEACUP AND SAUCER </c:v>
                </c:pt>
                <c:pt idx="98">
                  <c:v>GREEN REGENCY TEACUP AND SAUCER</c:v>
                </c:pt>
                <c:pt idx="99">
                  <c:v>SET 3 PAPER VINTAGE CHICK PAPER EGG</c:v>
                </c:pt>
                <c:pt idx="100">
                  <c:v>4 TRADITIONAL SPINNING TOPS</c:v>
                </c:pt>
                <c:pt idx="101">
                  <c:v>CHARLIE &amp; LOLA WASTEPAPER BIN FLORA</c:v>
                </c:pt>
                <c:pt idx="102">
                  <c:v>CHARLIE &amp; LOLA WASTEPAPER BIN BLUE</c:v>
                </c:pt>
                <c:pt idx="103">
                  <c:v>GIN &amp; TONIC DIET GREETING CARD </c:v>
                </c:pt>
                <c:pt idx="104">
                  <c:v>GREEN REGENCY TEACUP AND SAUCER</c:v>
                </c:pt>
                <c:pt idx="105">
                  <c:v>LAUNDRY 15C METAL SIGN</c:v>
                </c:pt>
                <c:pt idx="106">
                  <c:v>BEWARE OF THE CAT METAL SIGN </c:v>
                </c:pt>
                <c:pt idx="107">
                  <c:v>NO SINGING METAL SIGN</c:v>
                </c:pt>
                <c:pt idx="108">
                  <c:v>RETROSPOT HEART HOT WATER BOTTLE</c:v>
                </c:pt>
                <c:pt idx="109">
                  <c:v>DOORMAT UNION FLAG</c:v>
                </c:pt>
                <c:pt idx="110">
                  <c:v>LADIES &amp; GENTLEMEN METAL SIGN</c:v>
                </c:pt>
                <c:pt idx="111">
                  <c:v>WASHROOM METAL SIGN</c:v>
                </c:pt>
                <c:pt idx="112">
                  <c:v>LAUNDRY 15C METAL SIGN</c:v>
                </c:pt>
                <c:pt idx="113">
                  <c:v>HOOK, 1 HANGER ,MAGIC GARDEN</c:v>
                </c:pt>
                <c:pt idx="114">
                  <c:v>3 HOOK HANGER MAGIC GARDEN</c:v>
                </c:pt>
                <c:pt idx="115">
                  <c:v>ASSORTED BOTTLE TOP  MAGNETS </c:v>
                </c:pt>
                <c:pt idx="116">
                  <c:v>BAKING MOULD HEART MILK CHOCOLATE</c:v>
                </c:pt>
                <c:pt idx="117">
                  <c:v>COLOUR GLASS T-LIGHT HOLDER HANGING</c:v>
                </c:pt>
                <c:pt idx="118">
                  <c:v>T-LIGHT HOLDER WHITE LACE</c:v>
                </c:pt>
                <c:pt idx="119">
                  <c:v>BOX OF 9 PEBBLE CANDLES</c:v>
                </c:pt>
                <c:pt idx="120">
                  <c:v>TUMBLER, BAROQUE</c:v>
                </c:pt>
                <c:pt idx="121">
                  <c:v>SILVER STANDING GNOME   </c:v>
                </c:pt>
                <c:pt idx="122">
                  <c:v>ASSORTED COLOUR BIRD ORNAMENT</c:v>
                </c:pt>
                <c:pt idx="123">
                  <c:v>DOORMAT RED RETROSPOT</c:v>
                </c:pt>
                <c:pt idx="124">
                  <c:v>DOORMAT WELCOME SUNRISE</c:v>
                </c:pt>
                <c:pt idx="125">
                  <c:v>DOORMAT MULTICOLOUR STRIPE</c:v>
                </c:pt>
                <c:pt idx="126">
                  <c:v>PACK OF 72 SKULL CAKE CASES</c:v>
                </c:pt>
                <c:pt idx="127">
                  <c:v>PACK OF 60 PINK PAISLEY CAKE CASES</c:v>
                </c:pt>
                <c:pt idx="128">
                  <c:v>REGENCY CAKESTAND 3 TIER</c:v>
                </c:pt>
                <c:pt idx="129">
                  <c:v>ROSES REGENCY TEACUP AND SAUCER </c:v>
                </c:pt>
                <c:pt idx="130">
                  <c:v>SET OF 6 SPICE TINS PANTRY DESIGN</c:v>
                </c:pt>
                <c:pt idx="131">
                  <c:v>PANTRY WASHING UP BRUSH</c:v>
                </c:pt>
                <c:pt idx="132">
                  <c:v>SET OF 36 TEATIME PAPER DOILIES</c:v>
                </c:pt>
                <c:pt idx="133">
                  <c:v>SET OF 3 CAKE TINS PANTRY DESIGN </c:v>
                </c:pt>
                <c:pt idx="134">
                  <c:v>3 TIER CAKE TIN GREEN AND CREAM</c:v>
                </c:pt>
                <c:pt idx="135">
                  <c:v>ROUND CAKE TIN VINTAGE RED</c:v>
                </c:pt>
                <c:pt idx="136">
                  <c:v>ROUND CAKE TIN VINTAGE GREEN</c:v>
                </c:pt>
                <c:pt idx="137">
                  <c:v>NATURAL SLATE HEART CHALKBOARD </c:v>
                </c:pt>
                <c:pt idx="138">
                  <c:v>GROW A FLYTRAP OR SUNFLOWER IN TIN</c:v>
                </c:pt>
                <c:pt idx="139">
                  <c:v>LANTERN CREAM GAZEBO </c:v>
                </c:pt>
                <c:pt idx="140">
                  <c:v>WHITE HANGING HEART T-LIGHT HOLDER</c:v>
                </c:pt>
                <c:pt idx="141">
                  <c:v>RED HANGING HEART T-LIGHT HOLDER</c:v>
                </c:pt>
                <c:pt idx="142">
                  <c:v>SET OF 6 GIRLS CELEBRATION CANDLES</c:v>
                </c:pt>
                <c:pt idx="143">
                  <c:v>RED RETROSPOT CUP</c:v>
                </c:pt>
                <c:pt idx="144">
                  <c:v>PINK  POLKADOT PLATE </c:v>
                </c:pt>
              </c:strCache>
            </c:strRef>
          </c:cat>
          <c:val>
            <c:numRef>
              <c:f>'Online-Retail-Dataset'!$I$3:$I$147</c:f>
              <c:numCache>
                <c:formatCode>_("$"* #,##0.00_);_("$"* \(#,##0.00\);_("$"* "-"??_);_(@_)</c:formatCode>
                <c:ptCount val="145"/>
                <c:pt idx="0">
                  <c:v>15.299999999999999</c:v>
                </c:pt>
                <c:pt idx="1">
                  <c:v>20.34</c:v>
                </c:pt>
                <c:pt idx="2">
                  <c:v>22</c:v>
                </c:pt>
                <c:pt idx="3">
                  <c:v>20.34</c:v>
                </c:pt>
                <c:pt idx="4">
                  <c:v>90</c:v>
                </c:pt>
                <c:pt idx="5">
                  <c:v>90</c:v>
                </c:pt>
                <c:pt idx="6">
                  <c:v>45</c:v>
                </c:pt>
                <c:pt idx="7">
                  <c:v>10.199999999999999</c:v>
                </c:pt>
                <c:pt idx="8">
                  <c:v>51</c:v>
                </c:pt>
                <c:pt idx="9">
                  <c:v>39.6</c:v>
                </c:pt>
                <c:pt idx="10">
                  <c:v>15</c:v>
                </c:pt>
                <c:pt idx="11">
                  <c:v>32.700000000000003</c:v>
                </c:pt>
                <c:pt idx="12">
                  <c:v>25.4</c:v>
                </c:pt>
                <c:pt idx="13">
                  <c:v>177.60000000000002</c:v>
                </c:pt>
                <c:pt idx="14">
                  <c:v>15</c:v>
                </c:pt>
                <c:pt idx="15">
                  <c:v>17.700000000000003</c:v>
                </c:pt>
                <c:pt idx="16">
                  <c:v>15.299999999999999</c:v>
                </c:pt>
                <c:pt idx="17">
                  <c:v>10.199999999999999</c:v>
                </c:pt>
                <c:pt idx="18">
                  <c:v>19.799999999999997</c:v>
                </c:pt>
                <c:pt idx="19">
                  <c:v>21</c:v>
                </c:pt>
                <c:pt idx="20">
                  <c:v>101.76</c:v>
                </c:pt>
                <c:pt idx="21">
                  <c:v>16.8</c:v>
                </c:pt>
                <c:pt idx="22">
                  <c:v>39.799999999999997</c:v>
                </c:pt>
                <c:pt idx="23">
                  <c:v>17.700000000000003</c:v>
                </c:pt>
                <c:pt idx="24">
                  <c:v>15.299999999999999</c:v>
                </c:pt>
                <c:pt idx="25">
                  <c:v>42.5</c:v>
                </c:pt>
                <c:pt idx="26">
                  <c:v>13.5</c:v>
                </c:pt>
                <c:pt idx="27">
                  <c:v>15</c:v>
                </c:pt>
                <c:pt idx="28">
                  <c:v>15</c:v>
                </c:pt>
                <c:pt idx="29">
                  <c:v>25.5</c:v>
                </c:pt>
                <c:pt idx="30">
                  <c:v>15</c:v>
                </c:pt>
                <c:pt idx="31">
                  <c:v>15</c:v>
                </c:pt>
                <c:pt idx="32">
                  <c:v>15</c:v>
                </c:pt>
                <c:pt idx="33">
                  <c:v>15</c:v>
                </c:pt>
                <c:pt idx="34">
                  <c:v>15</c:v>
                </c:pt>
                <c:pt idx="35">
                  <c:v>15</c:v>
                </c:pt>
                <c:pt idx="36">
                  <c:v>22.5</c:v>
                </c:pt>
                <c:pt idx="37">
                  <c:v>88.5</c:v>
                </c:pt>
                <c:pt idx="38">
                  <c:v>59.4</c:v>
                </c:pt>
                <c:pt idx="39">
                  <c:v>39.599999999999994</c:v>
                </c:pt>
                <c:pt idx="40">
                  <c:v>115.5</c:v>
                </c:pt>
                <c:pt idx="41">
                  <c:v>145</c:v>
                </c:pt>
                <c:pt idx="42">
                  <c:v>99</c:v>
                </c:pt>
                <c:pt idx="43">
                  <c:v>81.599999999999994</c:v>
                </c:pt>
                <c:pt idx="44">
                  <c:v>30</c:v>
                </c:pt>
                <c:pt idx="45">
                  <c:v>11.6</c:v>
                </c:pt>
                <c:pt idx="46">
                  <c:v>17.700000000000003</c:v>
                </c:pt>
                <c:pt idx="47">
                  <c:v>16.5</c:v>
                </c:pt>
                <c:pt idx="48">
                  <c:v>23.099999999999998</c:v>
                </c:pt>
                <c:pt idx="49">
                  <c:v>15</c:v>
                </c:pt>
                <c:pt idx="50">
                  <c:v>15</c:v>
                </c:pt>
                <c:pt idx="51">
                  <c:v>9.8999999999999986</c:v>
                </c:pt>
                <c:pt idx="52">
                  <c:v>15</c:v>
                </c:pt>
                <c:pt idx="53">
                  <c:v>12.600000000000001</c:v>
                </c:pt>
                <c:pt idx="54">
                  <c:v>25.200000000000003</c:v>
                </c:pt>
                <c:pt idx="55">
                  <c:v>19.899999999999999</c:v>
                </c:pt>
                <c:pt idx="56">
                  <c:v>50.4</c:v>
                </c:pt>
                <c:pt idx="57">
                  <c:v>50.4</c:v>
                </c:pt>
                <c:pt idx="58">
                  <c:v>15</c:v>
                </c:pt>
                <c:pt idx="59">
                  <c:v>45</c:v>
                </c:pt>
                <c:pt idx="60">
                  <c:v>71.400000000000006</c:v>
                </c:pt>
                <c:pt idx="61">
                  <c:v>15.299999999999999</c:v>
                </c:pt>
                <c:pt idx="62">
                  <c:v>5.04</c:v>
                </c:pt>
                <c:pt idx="63">
                  <c:v>5.04</c:v>
                </c:pt>
                <c:pt idx="64">
                  <c:v>25.200000000000003</c:v>
                </c:pt>
                <c:pt idx="65">
                  <c:v>17</c:v>
                </c:pt>
                <c:pt idx="66">
                  <c:v>39</c:v>
                </c:pt>
                <c:pt idx="67">
                  <c:v>30</c:v>
                </c:pt>
                <c:pt idx="68">
                  <c:v>15.9</c:v>
                </c:pt>
                <c:pt idx="69">
                  <c:v>15.9</c:v>
                </c:pt>
                <c:pt idx="70">
                  <c:v>15.9</c:v>
                </c:pt>
                <c:pt idx="71">
                  <c:v>15.9</c:v>
                </c:pt>
                <c:pt idx="72">
                  <c:v>20.28</c:v>
                </c:pt>
                <c:pt idx="73">
                  <c:v>119.6</c:v>
                </c:pt>
                <c:pt idx="74">
                  <c:v>180</c:v>
                </c:pt>
                <c:pt idx="75">
                  <c:v>13.2</c:v>
                </c:pt>
                <c:pt idx="76">
                  <c:v>15.9</c:v>
                </c:pt>
                <c:pt idx="77">
                  <c:v>163.19999999999999</c:v>
                </c:pt>
                <c:pt idx="78">
                  <c:v>12.5</c:v>
                </c:pt>
                <c:pt idx="79">
                  <c:v>12.5</c:v>
                </c:pt>
                <c:pt idx="80">
                  <c:v>1188</c:v>
                </c:pt>
                <c:pt idx="81">
                  <c:v>39.6</c:v>
                </c:pt>
                <c:pt idx="82">
                  <c:v>39.6</c:v>
                </c:pt>
                <c:pt idx="83">
                  <c:v>13.200000000000001</c:v>
                </c:pt>
                <c:pt idx="84">
                  <c:v>50.4</c:v>
                </c:pt>
                <c:pt idx="85">
                  <c:v>13.200000000000001</c:v>
                </c:pt>
                <c:pt idx="86">
                  <c:v>68</c:v>
                </c:pt>
                <c:pt idx="87">
                  <c:v>11.6</c:v>
                </c:pt>
                <c:pt idx="88">
                  <c:v>10.199999999999999</c:v>
                </c:pt>
                <c:pt idx="89">
                  <c:v>17</c:v>
                </c:pt>
                <c:pt idx="90">
                  <c:v>15</c:v>
                </c:pt>
                <c:pt idx="91">
                  <c:v>17.700000000000003</c:v>
                </c:pt>
                <c:pt idx="92">
                  <c:v>167.04</c:v>
                </c:pt>
                <c:pt idx="93">
                  <c:v>132</c:v>
                </c:pt>
                <c:pt idx="94">
                  <c:v>3.4799999999999995</c:v>
                </c:pt>
                <c:pt idx="95">
                  <c:v>3.4799999999999995</c:v>
                </c:pt>
                <c:pt idx="96">
                  <c:v>205.74</c:v>
                </c:pt>
                <c:pt idx="97">
                  <c:v>61.199999999999996</c:v>
                </c:pt>
                <c:pt idx="98">
                  <c:v>61.199999999999996</c:v>
                </c:pt>
                <c:pt idx="99">
                  <c:v>70.800000000000011</c:v>
                </c:pt>
                <c:pt idx="100">
                  <c:v>75</c:v>
                </c:pt>
                <c:pt idx="101">
                  <c:v>22.5</c:v>
                </c:pt>
                <c:pt idx="102">
                  <c:v>22.5</c:v>
                </c:pt>
                <c:pt idx="103">
                  <c:v>25.919999999999998</c:v>
                </c:pt>
                <c:pt idx="104">
                  <c:v>17.700000000000003</c:v>
                </c:pt>
                <c:pt idx="105">
                  <c:v>17.399999999999999</c:v>
                </c:pt>
                <c:pt idx="106">
                  <c:v>20.28</c:v>
                </c:pt>
                <c:pt idx="107">
                  <c:v>25.200000000000003</c:v>
                </c:pt>
                <c:pt idx="108">
                  <c:v>29.700000000000003</c:v>
                </c:pt>
                <c:pt idx="109">
                  <c:v>15.9</c:v>
                </c:pt>
                <c:pt idx="110">
                  <c:v>61.199999999999996</c:v>
                </c:pt>
                <c:pt idx="111">
                  <c:v>34.799999999999997</c:v>
                </c:pt>
                <c:pt idx="112">
                  <c:v>17.399999999999999</c:v>
                </c:pt>
                <c:pt idx="113">
                  <c:v>20.399999999999999</c:v>
                </c:pt>
                <c:pt idx="114">
                  <c:v>23.4</c:v>
                </c:pt>
                <c:pt idx="115">
                  <c:v>5.04</c:v>
                </c:pt>
                <c:pt idx="116">
                  <c:v>45.9</c:v>
                </c:pt>
                <c:pt idx="117">
                  <c:v>31.200000000000003</c:v>
                </c:pt>
                <c:pt idx="118">
                  <c:v>20.399999999999999</c:v>
                </c:pt>
                <c:pt idx="119">
                  <c:v>23.4</c:v>
                </c:pt>
                <c:pt idx="120">
                  <c:v>9.8999999999999986</c:v>
                </c:pt>
                <c:pt idx="121">
                  <c:v>17</c:v>
                </c:pt>
                <c:pt idx="122">
                  <c:v>13.52</c:v>
                </c:pt>
                <c:pt idx="123">
                  <c:v>15.9</c:v>
                </c:pt>
                <c:pt idx="124">
                  <c:v>15.9</c:v>
                </c:pt>
                <c:pt idx="125">
                  <c:v>15.9</c:v>
                </c:pt>
                <c:pt idx="126">
                  <c:v>13.200000000000001</c:v>
                </c:pt>
                <c:pt idx="127">
                  <c:v>13.200000000000001</c:v>
                </c:pt>
                <c:pt idx="128">
                  <c:v>175.2</c:v>
                </c:pt>
                <c:pt idx="129">
                  <c:v>61.199999999999996</c:v>
                </c:pt>
                <c:pt idx="130">
                  <c:v>27.650000000000002</c:v>
                </c:pt>
                <c:pt idx="131">
                  <c:v>2.9</c:v>
                </c:pt>
                <c:pt idx="132">
                  <c:v>4.3499999999999996</c:v>
                </c:pt>
                <c:pt idx="133">
                  <c:v>4.95</c:v>
                </c:pt>
                <c:pt idx="134">
                  <c:v>14.95</c:v>
                </c:pt>
                <c:pt idx="135">
                  <c:v>15.9</c:v>
                </c:pt>
                <c:pt idx="136">
                  <c:v>15.9</c:v>
                </c:pt>
                <c:pt idx="137">
                  <c:v>17.700000000000003</c:v>
                </c:pt>
                <c:pt idx="138">
                  <c:v>30</c:v>
                </c:pt>
                <c:pt idx="139">
                  <c:v>14.850000000000001</c:v>
                </c:pt>
                <c:pt idx="140">
                  <c:v>17.700000000000003</c:v>
                </c:pt>
                <c:pt idx="141">
                  <c:v>17.700000000000003</c:v>
                </c:pt>
                <c:pt idx="142">
                  <c:v>15</c:v>
                </c:pt>
                <c:pt idx="143">
                  <c:v>6.8</c:v>
                </c:pt>
                <c:pt idx="144">
                  <c:v>13.52</c:v>
                </c:pt>
              </c:numCache>
            </c:numRef>
          </c:val>
          <c:extLst>
            <c:ext xmlns:c16="http://schemas.microsoft.com/office/drawing/2014/chart" uri="{C3380CC4-5D6E-409C-BE32-E72D297353CC}">
              <c16:uniqueId val="{00000000-DFAD-48C6-A14E-DACD3DC0B8EB}"/>
            </c:ext>
          </c:extLst>
        </c:ser>
        <c:dLbls>
          <c:showLegendKey val="0"/>
          <c:showVal val="0"/>
          <c:showCatName val="0"/>
          <c:showSerName val="0"/>
          <c:showPercent val="0"/>
          <c:showBubbleSize val="0"/>
        </c:dLbls>
        <c:gapWidth val="150"/>
        <c:axId val="82645439"/>
        <c:axId val="138798479"/>
      </c:barChart>
      <c:catAx>
        <c:axId val="8264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98479"/>
        <c:crosses val="autoZero"/>
        <c:auto val="1"/>
        <c:lblAlgn val="ctr"/>
        <c:lblOffset val="100"/>
        <c:noMultiLvlLbl val="0"/>
      </c:catAx>
      <c:valAx>
        <c:axId val="1387984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264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[OnlineRetailDatasetSample.xlsx]Pivot-Tables!Monthly-Revenue</c:name>
    <c:fmtId val="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Month Wise Revenue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48894627684604"/>
          <c:y val="0.15366527181033449"/>
          <c:w val="0.68726552930883644"/>
          <c:h val="0.72125801983085447"/>
        </c:manualLayout>
      </c:layout>
      <c:lineChart>
        <c:grouping val="standard"/>
        <c:varyColors val="0"/>
        <c:ser>
          <c:idx val="0"/>
          <c:order val="0"/>
          <c:tx>
            <c:strRef>
              <c:f>'Pivot-Tables'!$O$2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'Pivot-Tables'!$N$3:$N$11</c:f>
              <c:strCache>
                <c:ptCount val="8"/>
                <c:pt idx="0">
                  <c:v>Jan</c:v>
                </c:pt>
                <c:pt idx="1">
                  <c:v>Feb</c:v>
                </c:pt>
                <c:pt idx="2">
                  <c:v>Mar</c:v>
                </c:pt>
                <c:pt idx="3">
                  <c:v>Apr</c:v>
                </c:pt>
                <c:pt idx="4">
                  <c:v>May</c:v>
                </c:pt>
                <c:pt idx="5">
                  <c:v>Jun</c:v>
                </c:pt>
                <c:pt idx="6">
                  <c:v>Oct</c:v>
                </c:pt>
                <c:pt idx="7">
                  <c:v>Dec</c:v>
                </c:pt>
              </c:strCache>
            </c:strRef>
          </c:cat>
          <c:val>
            <c:numRef>
              <c:f>'Pivot-Tables'!$O$3:$O$11</c:f>
              <c:numCache>
                <c:formatCode>_("$"* #,##0.00_);_("$"* \(#,##0.00\);_("$"* "-"??_);_(@_)</c:formatCode>
                <c:ptCount val="8"/>
                <c:pt idx="0">
                  <c:v>419.7</c:v>
                </c:pt>
                <c:pt idx="1">
                  <c:v>305.33999999999997</c:v>
                </c:pt>
                <c:pt idx="2">
                  <c:v>63.819999999999993</c:v>
                </c:pt>
                <c:pt idx="3">
                  <c:v>414.7999999999999</c:v>
                </c:pt>
                <c:pt idx="4">
                  <c:v>30</c:v>
                </c:pt>
                <c:pt idx="5">
                  <c:v>65.25</c:v>
                </c:pt>
                <c:pt idx="6">
                  <c:v>20.32</c:v>
                </c:pt>
                <c:pt idx="7">
                  <c:v>4973.7399999999989</c:v>
                </c:pt>
              </c:numCache>
            </c:numRef>
          </c:val>
          <c:smooth val="0"/>
          <c:extLst>
            <c:ext xmlns:c16="http://schemas.microsoft.com/office/drawing/2014/chart" uri="{C3380CC4-5D6E-409C-BE32-E72D297353CC}">
              <c16:uniqueId val="{00000000-BB12-4497-B999-FC31E9B469CF}"/>
            </c:ext>
          </c:extLst>
        </c:ser>
        <c:dLbls>
          <c:showLegendKey val="0"/>
          <c:showVal val="0"/>
          <c:showCatName val="0"/>
          <c:showSerName val="0"/>
          <c:showPercent val="0"/>
          <c:showBubbleSize val="0"/>
        </c:dLbls>
        <c:marker val="1"/>
        <c:smooth val="0"/>
        <c:axId val="64706911"/>
        <c:axId val="138797999"/>
      </c:lineChart>
      <c:catAx>
        <c:axId val="6470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8797999"/>
        <c:crosses val="autoZero"/>
        <c:auto val="1"/>
        <c:lblAlgn val="ctr"/>
        <c:lblOffset val="100"/>
        <c:noMultiLvlLbl val="0"/>
      </c:catAx>
      <c:valAx>
        <c:axId val="13879799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470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[OnlineRetailDatasetSample.xlsx]Pivot-Tables!Country-Revenue</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Country Wise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3"/>
          </a:solidFill>
          <a:ln>
            <a:noFill/>
          </a:ln>
          <a:effectLst>
            <a:outerShdw blurRad="317500" algn="ctr" rotWithShape="0">
              <a:prstClr val="black">
                <a:alpha val="25000"/>
              </a:prstClr>
            </a:outerShdw>
          </a:effectLst>
        </c:spPr>
      </c:pivotFmt>
      <c:pivotFmt>
        <c:idx val="5"/>
        <c:spPr>
          <a:solidFill>
            <a:schemeClr val="accent4"/>
          </a:solidFill>
          <a:ln>
            <a:noFill/>
          </a:ln>
          <a:effectLst>
            <a:outerShdw blurRad="317500" algn="ctr" rotWithShape="0">
              <a:prstClr val="black">
                <a:alpha val="25000"/>
              </a:prstClr>
            </a:outerShdw>
          </a:effectLst>
        </c:spPr>
      </c:pivotFmt>
      <c:pivotFmt>
        <c:idx val="6"/>
        <c:spPr>
          <a:solidFill>
            <a:schemeClr val="accent5"/>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1">
              <a:lumMod val="60000"/>
            </a:schemeClr>
          </a:solidFill>
          <a:ln>
            <a:noFill/>
          </a:ln>
          <a:effectLst>
            <a:outerShdw blurRad="317500" algn="ctr" rotWithShape="0">
              <a:prstClr val="black">
                <a:alpha val="25000"/>
              </a:prstClr>
            </a:outerShdw>
          </a:effectLst>
        </c:spPr>
      </c:pivotFmt>
      <c:pivotFmt>
        <c:idx val="9"/>
        <c:spPr>
          <a:solidFill>
            <a:schemeClr val="accent2">
              <a:lumMod val="60000"/>
            </a:schemeClr>
          </a:solidFill>
          <a:ln>
            <a:noFill/>
          </a:ln>
          <a:effectLst>
            <a:outerShdw blurRad="317500" algn="ctr" rotWithShape="0">
              <a:prstClr val="black">
                <a:alpha val="25000"/>
              </a:prstClr>
            </a:outerShdw>
          </a:effectLst>
        </c:spPr>
      </c:pivotFmt>
      <c:pivotFmt>
        <c:idx val="10"/>
        <c:spPr>
          <a:solidFill>
            <a:schemeClr val="accent3">
              <a:lumMod val="60000"/>
            </a:schemeClr>
          </a:solidFill>
          <a:ln>
            <a:noFill/>
          </a:ln>
          <a:effectLst>
            <a:outerShdw blurRad="317500" algn="ctr" rotWithShape="0">
              <a:prstClr val="black">
                <a:alpha val="25000"/>
              </a:prstClr>
            </a:outerShdw>
          </a:effectLst>
        </c:spPr>
      </c:pivotFmt>
      <c:pivotFmt>
        <c:idx val="11"/>
        <c:spPr>
          <a:solidFill>
            <a:schemeClr val="accent4">
              <a:lumMod val="60000"/>
            </a:schemeClr>
          </a:solidFill>
          <a:ln>
            <a:noFill/>
          </a:ln>
          <a:effectLst>
            <a:outerShdw blurRad="317500" algn="ctr" rotWithShape="0">
              <a:prstClr val="black">
                <a:alpha val="25000"/>
              </a:prstClr>
            </a:outerShdw>
          </a:effectLst>
        </c:spPr>
      </c:pivotFmt>
      <c:pivotFmt>
        <c:idx val="12"/>
        <c:spPr>
          <a:solidFill>
            <a:schemeClr val="accent5">
              <a:lumMod val="60000"/>
            </a:schemeClr>
          </a:solidFill>
          <a:ln>
            <a:noFill/>
          </a:ln>
          <a:effectLst>
            <a:outerShdw blurRad="317500" algn="ctr" rotWithShape="0">
              <a:prstClr val="black">
                <a:alpha val="25000"/>
              </a:prstClr>
            </a:outerShdw>
          </a:effectLst>
        </c:spPr>
      </c:pivotFmt>
      <c:pivotFmt>
        <c:idx val="13"/>
        <c:spPr>
          <a:solidFill>
            <a:schemeClr val="accent6">
              <a:lumMod val="60000"/>
            </a:schemeClr>
          </a:solidFill>
          <a:ln>
            <a:noFill/>
          </a:ln>
          <a:effectLst>
            <a:outerShdw blurRad="317500" algn="ctr" rotWithShape="0">
              <a:prstClr val="black">
                <a:alpha val="25000"/>
              </a:prstClr>
            </a:outerShdw>
          </a:effectLst>
        </c:spPr>
      </c:pivotFmt>
      <c:pivotFmt>
        <c:idx val="14"/>
        <c:spPr>
          <a:solidFill>
            <a:schemeClr val="accent1">
              <a:lumMod val="80000"/>
              <a:lumOff val="20000"/>
            </a:schemeClr>
          </a:solidFill>
          <a:ln>
            <a:noFill/>
          </a:ln>
          <a:effectLst>
            <a:outerShdw blurRad="317500" algn="ctr" rotWithShape="0">
              <a:prstClr val="black">
                <a:alpha val="25000"/>
              </a:prstClr>
            </a:outerShdw>
          </a:effectLst>
        </c:spPr>
      </c:pivotFmt>
      <c:pivotFmt>
        <c:idx val="15"/>
        <c:spPr>
          <a:solidFill>
            <a:schemeClr val="accent2">
              <a:lumMod val="80000"/>
              <a:lumOff val="20000"/>
            </a:schemeClr>
          </a:solidFill>
          <a:ln>
            <a:noFill/>
          </a:ln>
          <a:effectLst>
            <a:outerShdw blurRad="317500" algn="ctr" rotWithShape="0">
              <a:prstClr val="black">
                <a:alpha val="25000"/>
              </a:prstClr>
            </a:outerShdw>
          </a:effectLst>
        </c:spPr>
      </c:pivotFmt>
      <c:pivotFmt>
        <c:idx val="16"/>
        <c:spPr>
          <a:solidFill>
            <a:schemeClr val="accent3">
              <a:lumMod val="80000"/>
              <a:lumOff val="20000"/>
            </a:schemeClr>
          </a:solidFill>
          <a:ln>
            <a:noFill/>
          </a:ln>
          <a:effectLst>
            <a:outerShdw blurRad="317500" algn="ctr" rotWithShape="0">
              <a:prstClr val="black">
                <a:alpha val="25000"/>
              </a:prstClr>
            </a:outerShdw>
          </a:effectLst>
        </c:spPr>
      </c:pivotFmt>
      <c:pivotFmt>
        <c:idx val="17"/>
        <c:spPr>
          <a:solidFill>
            <a:schemeClr val="accent4">
              <a:lumMod val="80000"/>
              <a:lumOff val="20000"/>
            </a:schemeClr>
          </a:solidFill>
          <a:ln>
            <a:noFill/>
          </a:ln>
          <a:effectLst>
            <a:outerShdw blurRad="317500" algn="ctr" rotWithShape="0">
              <a:prstClr val="black">
                <a:alpha val="25000"/>
              </a:prstClr>
            </a:outerShdw>
          </a:effectLst>
        </c:spPr>
      </c:pivotFmt>
      <c:pivotFmt>
        <c:idx val="18"/>
        <c:spPr>
          <a:solidFill>
            <a:schemeClr val="accent5">
              <a:lumMod val="80000"/>
              <a:lumOff val="20000"/>
            </a:schemeClr>
          </a:solidFill>
          <a:ln>
            <a:noFill/>
          </a:ln>
          <a:effectLst>
            <a:outerShdw blurRad="317500" algn="ctr" rotWithShape="0">
              <a:prstClr val="black">
                <a:alpha val="25000"/>
              </a:prstClr>
            </a:outerShdw>
          </a:effectLst>
        </c:spPr>
      </c:pivotFmt>
      <c:pivotFmt>
        <c:idx val="19"/>
        <c:spPr>
          <a:solidFill>
            <a:schemeClr val="accent6">
              <a:lumMod val="80000"/>
              <a:lumOff val="20000"/>
            </a:schemeClr>
          </a:solidFill>
          <a:ln>
            <a:noFill/>
          </a:ln>
          <a:effectLst>
            <a:outerShdw blurRad="317500" algn="ctr" rotWithShape="0">
              <a:prstClr val="black">
                <a:alpha val="25000"/>
              </a:prstClr>
            </a:outerShdw>
          </a:effectLst>
        </c:spPr>
      </c:pivotFmt>
      <c:pivotFmt>
        <c:idx val="20"/>
        <c:spPr>
          <a:solidFill>
            <a:schemeClr val="accent1">
              <a:lumMod val="80000"/>
            </a:schemeClr>
          </a:solidFill>
          <a:ln>
            <a:noFill/>
          </a:ln>
          <a:effectLst>
            <a:outerShdw blurRad="317500" algn="ctr" rotWithShape="0">
              <a:prstClr val="black">
                <a:alpha val="25000"/>
              </a:prstClr>
            </a:outerShdw>
          </a:effectLst>
        </c:spPr>
      </c:pivotFmt>
      <c:pivotFmt>
        <c:idx val="21"/>
        <c:spPr>
          <a:solidFill>
            <a:schemeClr val="accent2">
              <a:lumMod val="80000"/>
            </a:schemeClr>
          </a:solidFill>
          <a:ln>
            <a:noFill/>
          </a:ln>
          <a:effectLst>
            <a:outerShdw blurRad="317500" algn="ctr" rotWithShape="0">
              <a:prstClr val="black">
                <a:alpha val="25000"/>
              </a:prstClr>
            </a:outerShdw>
          </a:effectLst>
        </c:spPr>
      </c:pivotFmt>
      <c:pivotFmt>
        <c:idx val="22"/>
        <c:spPr>
          <a:solidFill>
            <a:schemeClr val="accent3">
              <a:lumMod val="80000"/>
            </a:schemeClr>
          </a:solidFill>
          <a:ln>
            <a:noFill/>
          </a:ln>
          <a:effectLst>
            <a:outerShdw blurRad="317500" algn="ctr" rotWithShape="0">
              <a:prstClr val="black">
                <a:alpha val="25000"/>
              </a:prstClr>
            </a:outerShdw>
          </a:effectLst>
        </c:spPr>
      </c:pivotFmt>
      <c:pivotFmt>
        <c:idx val="23"/>
        <c:spPr>
          <a:solidFill>
            <a:schemeClr val="accent4">
              <a:lumMod val="80000"/>
            </a:schemeClr>
          </a:solidFill>
          <a:ln>
            <a:noFill/>
          </a:ln>
          <a:effectLst>
            <a:outerShdw blurRad="317500" algn="ctr" rotWithShape="0">
              <a:prstClr val="black">
                <a:alpha val="25000"/>
              </a:prstClr>
            </a:outerShdw>
          </a:effectLst>
        </c:spPr>
      </c:pivotFmt>
      <c:pivotFmt>
        <c:idx val="24"/>
        <c:spPr>
          <a:solidFill>
            <a:schemeClr val="accent5">
              <a:lumMod val="80000"/>
            </a:schemeClr>
          </a:solidFill>
          <a:ln>
            <a:noFill/>
          </a:ln>
          <a:effectLst>
            <a:outerShdw blurRad="317500" algn="ctr" rotWithShape="0">
              <a:prstClr val="black">
                <a:alpha val="25000"/>
              </a:prstClr>
            </a:outerShdw>
          </a:effectLst>
        </c:spPr>
      </c:pivotFmt>
      <c:pivotFmt>
        <c:idx val="25"/>
        <c:spPr>
          <a:solidFill>
            <a:schemeClr val="accent6">
              <a:lumMod val="80000"/>
            </a:schemeClr>
          </a:solidFill>
          <a:ln>
            <a:noFill/>
          </a:ln>
          <a:effectLst>
            <a:outerShdw blurRad="317500" algn="ctr" rotWithShape="0">
              <a:prstClr val="black">
                <a:alpha val="25000"/>
              </a:prstClr>
            </a:outerShdw>
          </a:effectLst>
        </c:spPr>
      </c:pivotFmt>
      <c:pivotFmt>
        <c:idx val="26"/>
        <c:spPr>
          <a:solidFill>
            <a:schemeClr val="accent1">
              <a:lumMod val="60000"/>
              <a:lumOff val="40000"/>
            </a:schemeClr>
          </a:solidFill>
          <a:ln>
            <a:noFill/>
          </a:ln>
          <a:effectLst>
            <a:outerShdw blurRad="317500" algn="ctr" rotWithShape="0">
              <a:prstClr val="black">
                <a:alpha val="25000"/>
              </a:prstClr>
            </a:outerShdw>
          </a:effectLst>
        </c:spPr>
      </c:pivotFmt>
      <c:pivotFmt>
        <c:idx val="27"/>
        <c:spPr>
          <a:solidFill>
            <a:schemeClr val="accent2">
              <a:lumMod val="60000"/>
              <a:lumOff val="40000"/>
            </a:schemeClr>
          </a:solidFill>
          <a:ln>
            <a:noFill/>
          </a:ln>
          <a:effectLst>
            <a:outerShdw blurRad="317500" algn="ctr" rotWithShape="0">
              <a:prstClr val="black">
                <a:alpha val="25000"/>
              </a:prstClr>
            </a:outerShdw>
          </a:effectLst>
        </c:spPr>
      </c:pivotFmt>
      <c:pivotFmt>
        <c:idx val="28"/>
        <c:spPr>
          <a:solidFill>
            <a:schemeClr val="accent3">
              <a:lumMod val="60000"/>
              <a:lumOff val="40000"/>
            </a:schemeClr>
          </a:solidFill>
          <a:ln>
            <a:noFill/>
          </a:ln>
          <a:effectLst>
            <a:outerShdw blurRad="317500" algn="ctr" rotWithShape="0">
              <a:prstClr val="black">
                <a:alpha val="25000"/>
              </a:prstClr>
            </a:outerShdw>
          </a:effectLst>
        </c:spPr>
      </c:pivotFmt>
      <c:pivotFmt>
        <c:idx val="29"/>
        <c:spPr>
          <a:solidFill>
            <a:schemeClr val="accent4">
              <a:lumMod val="60000"/>
              <a:lumOff val="40000"/>
            </a:schemeClr>
          </a:solidFill>
          <a:ln>
            <a:noFill/>
          </a:ln>
          <a:effectLst>
            <a:outerShdw blurRad="317500" algn="ctr" rotWithShape="0">
              <a:prstClr val="black">
                <a:alpha val="25000"/>
              </a:prstClr>
            </a:outerShdw>
          </a:effectLst>
        </c:spPr>
      </c:pivotFmt>
      <c:pivotFmt>
        <c:idx val="30"/>
        <c:spPr>
          <a:solidFill>
            <a:schemeClr val="accent5">
              <a:lumMod val="60000"/>
              <a:lumOff val="40000"/>
            </a:schemeClr>
          </a:solidFill>
          <a:ln>
            <a:noFill/>
          </a:ln>
          <a:effectLst>
            <a:outerShdw blurRad="317500" algn="ctr" rotWithShape="0">
              <a:prstClr val="black">
                <a:alpha val="25000"/>
              </a:prstClr>
            </a:outerShdw>
          </a:effectLst>
        </c:spPr>
      </c:pivotFmt>
      <c:pivotFmt>
        <c:idx val="31"/>
        <c:spPr>
          <a:solidFill>
            <a:schemeClr val="accent6">
              <a:lumMod val="60000"/>
              <a:lumOff val="40000"/>
            </a:schemeClr>
          </a:solidFill>
          <a:ln>
            <a:noFill/>
          </a:ln>
          <a:effectLst>
            <a:outerShdw blurRad="317500" algn="ctr" rotWithShape="0">
              <a:prstClr val="black">
                <a:alpha val="25000"/>
              </a:prstClr>
            </a:outerShdw>
          </a:effectLst>
        </c:spPr>
      </c:pivotFmt>
      <c:pivotFmt>
        <c:idx val="32"/>
        <c:spPr>
          <a:solidFill>
            <a:schemeClr val="accent1">
              <a:lumMod val="50000"/>
            </a:schemeClr>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3">
              <a:lumMod val="50000"/>
            </a:schemeClr>
          </a:solidFill>
          <a:ln>
            <a:noFill/>
          </a:ln>
          <a:effectLst>
            <a:outerShdw blurRad="317500" algn="ctr" rotWithShape="0">
              <a:prstClr val="black">
                <a:alpha val="25000"/>
              </a:prstClr>
            </a:outerShdw>
          </a:effectLst>
        </c:spPr>
      </c:pivotFmt>
      <c:pivotFmt>
        <c:idx val="35"/>
        <c:spPr>
          <a:solidFill>
            <a:schemeClr val="accent4">
              <a:lumMod val="50000"/>
            </a:schemeClr>
          </a:solidFill>
          <a:ln>
            <a:noFill/>
          </a:ln>
          <a:effectLst>
            <a:outerShdw blurRad="317500" algn="ctr" rotWithShape="0">
              <a:prstClr val="black">
                <a:alpha val="25000"/>
              </a:prstClr>
            </a:outerShdw>
          </a:effectLst>
        </c:spPr>
      </c:pivotFmt>
      <c:pivotFmt>
        <c:idx val="36"/>
        <c:spPr>
          <a:solidFill>
            <a:schemeClr val="accent5">
              <a:lumMod val="50000"/>
            </a:schemeClr>
          </a:solidFill>
          <a:ln>
            <a:noFill/>
          </a:ln>
          <a:effectLst>
            <a:outerShdw blurRad="317500" algn="ctr" rotWithShape="0">
              <a:prstClr val="black">
                <a:alpha val="25000"/>
              </a:prstClr>
            </a:outerShdw>
          </a:effectLst>
        </c:spPr>
      </c:pivotFmt>
      <c:pivotFmt>
        <c:idx val="37"/>
        <c:spPr>
          <a:solidFill>
            <a:schemeClr val="accent6">
              <a:lumMod val="50000"/>
            </a:schemeClr>
          </a:solidFill>
          <a:ln>
            <a:noFill/>
          </a:ln>
          <a:effectLst>
            <a:outerShdw blurRad="317500" algn="ctr" rotWithShape="0">
              <a:prstClr val="black">
                <a:alpha val="25000"/>
              </a:prstClr>
            </a:outerShdw>
          </a:effectLst>
        </c:spPr>
      </c:pivotFmt>
      <c:pivotFmt>
        <c:idx val="38"/>
        <c:spPr>
          <a:solidFill>
            <a:schemeClr val="accent1">
              <a:lumMod val="70000"/>
              <a:lumOff val="30000"/>
            </a:schemeClr>
          </a:solidFill>
          <a:ln>
            <a:noFill/>
          </a:ln>
          <a:effectLst>
            <a:outerShdw blurRad="317500" algn="ctr" rotWithShape="0">
              <a:prstClr val="black">
                <a:alpha val="25000"/>
              </a:prstClr>
            </a:outerShdw>
          </a:effectLst>
        </c:spPr>
      </c:pivotFmt>
      <c:pivotFmt>
        <c:idx val="39"/>
        <c:spPr>
          <a:solidFill>
            <a:schemeClr val="accent2">
              <a:lumMod val="70000"/>
              <a:lumOff val="30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'Pivot-Tables'!$O$15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BA8-48FE-B73D-0B36CE051F6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BA8-48FE-B73D-0B36CE051F6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BA8-48FE-B73D-0B36CE051F6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BA8-48FE-B73D-0B36CE051F6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BA8-48FE-B73D-0B36CE051F6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BA8-48FE-B73D-0B36CE051F6B}"/>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7BA8-48FE-B73D-0B36CE051F6B}"/>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7BA8-48FE-B73D-0B36CE051F6B}"/>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7BA8-48FE-B73D-0B36CE051F6B}"/>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7BA8-48FE-B73D-0B36CE051F6B}"/>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7BA8-48FE-B73D-0B36CE051F6B}"/>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7BA8-48FE-B73D-0B36CE051F6B}"/>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7BA8-48FE-B73D-0B36CE051F6B}"/>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7BA8-48FE-B73D-0B36CE051F6B}"/>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7BA8-48FE-B73D-0B36CE051F6B}"/>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7BA8-48FE-B73D-0B36CE051F6B}"/>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7BA8-48FE-B73D-0B36CE051F6B}"/>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7BA8-48FE-B73D-0B36CE051F6B}"/>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7BA8-48FE-B73D-0B36CE051F6B}"/>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7BA8-48FE-B73D-0B36CE051F6B}"/>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7BA8-48FE-B73D-0B36CE051F6B}"/>
              </c:ext>
            </c:extLst>
          </c:dPt>
          <c:dPt>
            <c:idx val="2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7BA8-48FE-B73D-0B36CE051F6B}"/>
              </c:ext>
            </c:extLst>
          </c:dPt>
          <c:dPt>
            <c:idx val="2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7BA8-48FE-B73D-0B36CE051F6B}"/>
              </c:ext>
            </c:extLst>
          </c:dPt>
          <c:dPt>
            <c:idx val="23"/>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7BA8-48FE-B73D-0B36CE051F6B}"/>
              </c:ext>
            </c:extLst>
          </c:dPt>
          <c:dPt>
            <c:idx val="24"/>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7BA8-48FE-B73D-0B36CE051F6B}"/>
              </c:ext>
            </c:extLst>
          </c:dPt>
          <c:dPt>
            <c:idx val="25"/>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7BA8-48FE-B73D-0B36CE051F6B}"/>
              </c:ext>
            </c:extLst>
          </c:dPt>
          <c:dPt>
            <c:idx val="26"/>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7BA8-48FE-B73D-0B36CE051F6B}"/>
              </c:ext>
            </c:extLst>
          </c:dPt>
          <c:dPt>
            <c:idx val="27"/>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7BA8-48FE-B73D-0B36CE051F6B}"/>
              </c:ext>
            </c:extLst>
          </c:dPt>
          <c:dPt>
            <c:idx val="28"/>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7BA8-48FE-B73D-0B36CE051F6B}"/>
              </c:ext>
            </c:extLst>
          </c:dPt>
          <c:dPt>
            <c:idx val="29"/>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7BA8-48FE-B73D-0B36CE051F6B}"/>
              </c:ext>
            </c:extLst>
          </c:dPt>
          <c:dPt>
            <c:idx val="3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D-7BA8-48FE-B73D-0B36CE051F6B}"/>
              </c:ext>
            </c:extLst>
          </c:dPt>
          <c:dPt>
            <c:idx val="31"/>
            <c:bubble3D val="0"/>
            <c:spPr>
              <a:solidFill>
                <a:schemeClr val="accent2">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F-7BA8-48FE-B73D-0B36CE051F6B}"/>
              </c:ext>
            </c:extLst>
          </c:dPt>
          <c:dPt>
            <c:idx val="32"/>
            <c:bubble3D val="0"/>
            <c:spPr>
              <a:solidFill>
                <a:schemeClr val="accent3">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1-7BA8-48FE-B73D-0B36CE051F6B}"/>
              </c:ext>
            </c:extLst>
          </c:dPt>
          <c:dPt>
            <c:idx val="33"/>
            <c:bubble3D val="0"/>
            <c:spPr>
              <a:solidFill>
                <a:schemeClr val="accent4">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3-7BA8-48FE-B73D-0B36CE051F6B}"/>
              </c:ext>
            </c:extLst>
          </c:dPt>
          <c:dPt>
            <c:idx val="34"/>
            <c:bubble3D val="0"/>
            <c:spPr>
              <a:solidFill>
                <a:schemeClr val="accent5">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5-7BA8-48FE-B73D-0B36CE051F6B}"/>
              </c:ext>
            </c:extLst>
          </c:dPt>
          <c:dPt>
            <c:idx val="35"/>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7-7BA8-48FE-B73D-0B36CE051F6B}"/>
              </c:ext>
            </c:extLst>
          </c:dPt>
          <c:dPt>
            <c:idx val="36"/>
            <c:bubble3D val="0"/>
            <c:spPr>
              <a:solidFill>
                <a:schemeClr val="accent1">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9-7BA8-48FE-B73D-0B36CE051F6B}"/>
              </c:ext>
            </c:extLst>
          </c:dPt>
          <c:dPt>
            <c:idx val="37"/>
            <c:bubble3D val="0"/>
            <c:spPr>
              <a:solidFill>
                <a:schemeClr val="accent2">
                  <a:lumMod val="70000"/>
                  <a:lumOff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B-7BA8-48FE-B73D-0B36CE051F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'Pivot-Tables'!$N$16:$N$54</c:f>
              <c:strCache>
                <c:ptCount val="38"/>
                <c:pt idx="0">
                  <c:v>Australia</c:v>
                </c:pt>
                <c:pt idx="1">
                  <c:v>Austria</c:v>
                </c:pt>
                <c:pt idx="2">
                  <c:v>Bahrain</c:v>
                </c:pt>
                <c:pt idx="3">
                  <c:v>Belgium</c:v>
                </c:pt>
                <c:pt idx="4">
                  <c:v>Brazil</c:v>
                </c:pt>
                <c:pt idx="5">
                  <c:v>Canada</c:v>
                </c:pt>
                <c:pt idx="6">
                  <c:v>Channel Islands</c:v>
                </c:pt>
                <c:pt idx="7">
                  <c:v>Cyprus</c:v>
                </c:pt>
                <c:pt idx="8">
                  <c:v>Czech Republic</c:v>
                </c:pt>
                <c:pt idx="9">
                  <c:v>Denmark</c:v>
                </c:pt>
                <c:pt idx="10">
                  <c:v>EIRE</c:v>
                </c:pt>
                <c:pt idx="11">
                  <c:v>European Community</c:v>
                </c:pt>
                <c:pt idx="12">
                  <c:v>Finland</c:v>
                </c:pt>
                <c:pt idx="13">
                  <c:v>France</c:v>
                </c:pt>
                <c:pt idx="14">
                  <c:v>Germany</c:v>
                </c:pt>
                <c:pt idx="15">
                  <c:v>Greece</c:v>
                </c:pt>
                <c:pt idx="16">
                  <c:v>Hong Kong</c:v>
                </c:pt>
                <c:pt idx="17">
                  <c:v>Iceland</c:v>
                </c:pt>
                <c:pt idx="18">
                  <c:v>Israel</c:v>
                </c:pt>
                <c:pt idx="19">
                  <c:v>Italy</c:v>
                </c:pt>
                <c:pt idx="20">
                  <c:v>Japan</c:v>
                </c:pt>
                <c:pt idx="21">
                  <c:v>Lebanon</c:v>
                </c:pt>
                <c:pt idx="22">
                  <c:v>Lithuania</c:v>
                </c:pt>
                <c:pt idx="23">
                  <c:v>Malta</c:v>
                </c:pt>
                <c:pt idx="24">
                  <c:v>Netherlands</c:v>
                </c:pt>
                <c:pt idx="25">
                  <c:v>Norway</c:v>
                </c:pt>
                <c:pt idx="26">
                  <c:v>Poland</c:v>
                </c:pt>
                <c:pt idx="27">
                  <c:v>Portugal</c:v>
                </c:pt>
                <c:pt idx="28">
                  <c:v>RSA</c:v>
                </c:pt>
                <c:pt idx="29">
                  <c:v>Saudi Arabia</c:v>
                </c:pt>
                <c:pt idx="30">
                  <c:v>Singapore</c:v>
                </c:pt>
                <c:pt idx="31">
                  <c:v>Spain</c:v>
                </c:pt>
                <c:pt idx="32">
                  <c:v>Sweden</c:v>
                </c:pt>
                <c:pt idx="33">
                  <c:v>Switzerland</c:v>
                </c:pt>
                <c:pt idx="34">
                  <c:v>United Arab Emirates</c:v>
                </c:pt>
                <c:pt idx="35">
                  <c:v>United Kingdom</c:v>
                </c:pt>
                <c:pt idx="36">
                  <c:v>Unspecified</c:v>
                </c:pt>
                <c:pt idx="37">
                  <c:v>USA</c:v>
                </c:pt>
              </c:strCache>
            </c:strRef>
          </c:cat>
          <c:val>
            <c:numRef>
              <c:f>'Pivot-Tables'!$O$16:$O$54</c:f>
              <c:numCache>
                <c:formatCode>_("$"* #,##0.00_);_("$"* \(#,##0.00\);_("$"* "-"??_);_(@_)</c:formatCode>
                <c:ptCount val="38"/>
                <c:pt idx="0">
                  <c:v>193.70000000000002</c:v>
                </c:pt>
                <c:pt idx="1">
                  <c:v>139.5</c:v>
                </c:pt>
                <c:pt idx="2">
                  <c:v>235.74</c:v>
                </c:pt>
                <c:pt idx="3">
                  <c:v>145.9</c:v>
                </c:pt>
                <c:pt idx="4">
                  <c:v>236.39999999999998</c:v>
                </c:pt>
                <c:pt idx="5">
                  <c:v>63.819999999999993</c:v>
                </c:pt>
                <c:pt idx="6">
                  <c:v>83.88</c:v>
                </c:pt>
                <c:pt idx="7">
                  <c:v>188.2</c:v>
                </c:pt>
                <c:pt idx="8">
                  <c:v>97.5</c:v>
                </c:pt>
                <c:pt idx="9">
                  <c:v>328.7</c:v>
                </c:pt>
                <c:pt idx="10">
                  <c:v>151.30000000000001</c:v>
                </c:pt>
                <c:pt idx="11">
                  <c:v>64.45</c:v>
                </c:pt>
                <c:pt idx="12">
                  <c:v>156</c:v>
                </c:pt>
                <c:pt idx="13">
                  <c:v>235.2</c:v>
                </c:pt>
                <c:pt idx="14">
                  <c:v>63</c:v>
                </c:pt>
                <c:pt idx="15">
                  <c:v>193.2</c:v>
                </c:pt>
                <c:pt idx="16">
                  <c:v>120</c:v>
                </c:pt>
                <c:pt idx="17">
                  <c:v>81.2</c:v>
                </c:pt>
                <c:pt idx="18">
                  <c:v>43.8</c:v>
                </c:pt>
                <c:pt idx="19">
                  <c:v>67.5</c:v>
                </c:pt>
                <c:pt idx="20">
                  <c:v>25.38</c:v>
                </c:pt>
                <c:pt idx="21">
                  <c:v>62.88</c:v>
                </c:pt>
                <c:pt idx="22">
                  <c:v>131.4</c:v>
                </c:pt>
                <c:pt idx="23">
                  <c:v>65.25</c:v>
                </c:pt>
                <c:pt idx="24">
                  <c:v>199.56</c:v>
                </c:pt>
                <c:pt idx="25">
                  <c:v>139.56</c:v>
                </c:pt>
                <c:pt idx="26">
                  <c:v>123.19999999999999</c:v>
                </c:pt>
                <c:pt idx="27">
                  <c:v>57.3</c:v>
                </c:pt>
                <c:pt idx="28">
                  <c:v>20.32</c:v>
                </c:pt>
                <c:pt idx="29">
                  <c:v>5.04</c:v>
                </c:pt>
                <c:pt idx="30">
                  <c:v>43.620000000000005</c:v>
                </c:pt>
                <c:pt idx="31">
                  <c:v>359.5</c:v>
                </c:pt>
                <c:pt idx="32">
                  <c:v>1487.04</c:v>
                </c:pt>
                <c:pt idx="33">
                  <c:v>187.5</c:v>
                </c:pt>
                <c:pt idx="34">
                  <c:v>159</c:v>
                </c:pt>
                <c:pt idx="35">
                  <c:v>223.48000000000002</c:v>
                </c:pt>
                <c:pt idx="36">
                  <c:v>74.100000000000009</c:v>
                </c:pt>
                <c:pt idx="37">
                  <c:v>39.85</c:v>
                </c:pt>
              </c:numCache>
            </c:numRef>
          </c:val>
          <c:extLst>
            <c:ext xmlns:c16="http://schemas.microsoft.com/office/drawing/2014/chart" uri="{C3380CC4-5D6E-409C-BE32-E72D297353CC}">
              <c16:uniqueId val="{0000004C-7BA8-48FE-B73D-0B36CE051F6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5</xdr:col>
      <xdr:colOff>7620</xdr:colOff>
      <xdr:row>5</xdr:row>
      <xdr:rowOff>11430</xdr:rowOff>
    </xdr:from>
    <xdr:to>
      <xdr:col>12</xdr:col>
      <xdr:colOff>312420</xdr:colOff>
      <xdr:row>20</xdr:row>
      <xdr:rowOff>11430</xdr:rowOff>
    </xdr:to>
    <xdr:graphicFrame macro="">
      <xdr:nvGraphicFramePr>
        <xdr:cNvPr id="2" name="Chart 1">
          <a:extLst>
            <a:ext uri="{FF2B5EF4-FFF2-40B4-BE49-F238E27FC236}">
              <a16:creationId xmlns:a16="http://schemas.microsoft.com/office/drawing/2014/main" id="{4324700F-3C62-05DB-E6AB-D4EA45253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121919</xdr:colOff>
      <xdr:row>35</xdr:row>
      <xdr:rowOff>135911</xdr:rowOff>
    </xdr:from>
    <xdr:to>
      <xdr:col>3</xdr:col>
      <xdr:colOff>320039</xdr:colOff>
      <xdr:row>43</xdr:row>
      <xdr:rowOff>105431</xdr:rowOff>
    </xdr:to>
    <mc:AlternateContent xmlns:mc="http://schemas.openxmlformats.org/markup-compatibility/2006" xmlns:a14="http://schemas.microsoft.com/office/drawing/2010/main">
      <mc:Choice Requires="a14">
        <xdr:graphicFrame macro="">
          <xdr:nvGraphicFramePr>
            <xdr:cNvPr id="5" name="Months (InvoiceDate)">
              <a:extLst>
                <a:ext uri="{FF2B5EF4-FFF2-40B4-BE49-F238E27FC236}">
                  <a16:creationId xmlns:a16="http://schemas.microsoft.com/office/drawing/2014/main" id="{F73D1247-E57D-427C-B5FC-E7EA96601A6E}"/>
                </a:ext>
              </a:extLst>
            </xdr:cNvPr>
            <xdr:cNvGraphicFramePr/>
          </xdr:nvGraphicFramePr>
          <xdr:xfrm>
            <a:off x="0" y="0"/>
            <a:ext cx="0" cy="0"/>
          </xdr:xfrm>
          <a:graphic>
            <a:graphicData uri="http://schemas.microsoft.com/office/drawing/2010/slicer">
              <sle:slicer xmlns:sle="http://schemas.microsoft.com/office/drawing/2010/slicer" name="Months (InvoiceDate)"/>
            </a:graphicData>
          </a:graphic>
        </xdr:graphicFrame>
      </mc:Choice>
      <mc:Fallback xmlns="">
        <xdr:sp macro="" textlink="">
          <xdr:nvSpPr>
            <xdr:cNvPr id="0" name=""/>
            <xdr:cNvSpPr>
              <a:spLocks noTextEdit="1"/>
            </xdr:cNvSpPr>
          </xdr:nvSpPr>
          <xdr:spPr>
            <a:xfrm>
              <a:off x="121919" y="6588330"/>
              <a:ext cx="2041668" cy="1444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5</xdr:row>
      <xdr:rowOff>53340</xdr:rowOff>
    </xdr:from>
    <xdr:to>
      <xdr:col>4</xdr:col>
      <xdr:colOff>190500</xdr:colOff>
      <xdr:row>19</xdr:row>
      <xdr:rowOff>74295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C4BEC5F5-51BA-4E6B-823B-1751A7D16B2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2400" y="975114"/>
              <a:ext cx="2496165" cy="2601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585617</xdr:colOff>
      <xdr:row>22</xdr:row>
      <xdr:rowOff>62460</xdr:rowOff>
    </xdr:from>
    <xdr:to>
      <xdr:col>23</xdr:col>
      <xdr:colOff>141159</xdr:colOff>
      <xdr:row>44</xdr:row>
      <xdr:rowOff>6745</xdr:rowOff>
    </xdr:to>
    <xdr:graphicFrame macro="">
      <xdr:nvGraphicFramePr>
        <xdr:cNvPr id="8" name="Chart 7">
          <a:extLst>
            <a:ext uri="{FF2B5EF4-FFF2-40B4-BE49-F238E27FC236}">
              <a16:creationId xmlns:a16="http://schemas.microsoft.com/office/drawing/2014/main" id="{3BDD9640-3529-E69F-58B1-B0BA5F28C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4</xdr:col>
      <xdr:colOff>21005</xdr:colOff>
      <xdr:row>21</xdr:row>
      <xdr:rowOff>135447</xdr:rowOff>
    </xdr:from>
    <xdr:to>
      <xdr:col>11</xdr:col>
      <xdr:colOff>325805</xdr:colOff>
      <xdr:row>38</xdr:row>
      <xdr:rowOff>62459</xdr:rowOff>
    </xdr:to>
    <xdr:graphicFrame macro="">
      <xdr:nvGraphicFramePr>
        <xdr:cNvPr id="9" name="Chart 7">
          <a:extLst>
            <a:ext uri="{FF2B5EF4-FFF2-40B4-BE49-F238E27FC236}">
              <a16:creationId xmlns:a16="http://schemas.microsoft.com/office/drawing/2014/main" id="{18EFD504-25AE-D990-1964-E9B651FF3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13</xdr:col>
      <xdr:colOff>285615</xdr:colOff>
      <xdr:row>5</xdr:row>
      <xdr:rowOff>36708</xdr:rowOff>
    </xdr:from>
    <xdr:to>
      <xdr:col>22</xdr:col>
      <xdr:colOff>187377</xdr:colOff>
      <xdr:row>21</xdr:row>
      <xdr:rowOff>37474</xdr:rowOff>
    </xdr:to>
    <xdr:graphicFrame macro="">
      <xdr:nvGraphicFramePr>
        <xdr:cNvPr id="10" name="Chart 8">
          <a:extLst>
            <a:ext uri="{FF2B5EF4-FFF2-40B4-BE49-F238E27FC236}">
              <a16:creationId xmlns:a16="http://schemas.microsoft.com/office/drawing/2014/main" id="{98FF8B09-6D9D-E189-5FF9-185C7DCF5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116940</xdr:colOff>
      <xdr:row>20</xdr:row>
      <xdr:rowOff>94081</xdr:rowOff>
    </xdr:from>
    <xdr:to>
      <xdr:col>3</xdr:col>
      <xdr:colOff>116940</xdr:colOff>
      <xdr:row>34</xdr:row>
      <xdr:rowOff>115036</xdr:rowOff>
    </xdr:to>
    <mc:AlternateContent xmlns:mc="http://schemas.openxmlformats.org/markup-compatibility/2006" xmlns:sle15="http://schemas.microsoft.com/office/drawing/2012/slicer">
      <mc:Choice Requires="sle15">
        <xdr:graphicFrame macro="">
          <xdr:nvGraphicFramePr>
            <xdr:cNvPr id="11" name="Description">
              <a:extLst>
                <a:ext uri="{FF2B5EF4-FFF2-40B4-BE49-F238E27FC236}">
                  <a16:creationId xmlns:a16="http://schemas.microsoft.com/office/drawing/2014/main" id="{4310BAB7-C078-4B8D-A9E1-84AD32382888}"/>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116940" y="3781178"/>
              <a:ext cx="1843548" cy="260192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23</xdr:col>
      <xdr:colOff>294967</xdr:colOff>
      <xdr:row>12</xdr:row>
      <xdr:rowOff>61453</xdr:rowOff>
    </xdr:from>
    <xdr:to>
      <xdr:col>28</xdr:col>
      <xdr:colOff>565353</xdr:colOff>
      <xdr:row>18</xdr:row>
      <xdr:rowOff>1</xdr:rowOff>
    </xdr:to>
    <xdr:grpSp>
      <xdr:nvGrpSpPr>
        <xdr:cNvPr id="14" name="Group 13">
          <a:extLst>
            <a:ext uri="{FF2B5EF4-FFF2-40B4-BE49-F238E27FC236}">
              <a16:creationId xmlns:a16="http://schemas.microsoft.com/office/drawing/2014/main" id="{05B570F1-49B7-8FE1-A8EE-034D8493C96A}"/>
            </a:ext>
          </a:extLst>
        </xdr:cNvPr>
        <xdr:cNvGrpSpPr/>
      </xdr:nvGrpSpPr>
      <xdr:grpSpPr>
        <a:xfrm>
          <a:off x="14428838" y="2273711"/>
          <a:ext cx="3342967" cy="1044677"/>
          <a:chOff x="14502581" y="749710"/>
          <a:chExt cx="2384322" cy="1044677"/>
        </a:xfrm>
      </xdr:grpSpPr>
      <xdr:sp macro="" textlink="'Online-Retail-Dataset'!K5">
        <xdr:nvSpPr>
          <xdr:cNvPr id="3" name="Rectangle 2">
            <a:extLst>
              <a:ext uri="{FF2B5EF4-FFF2-40B4-BE49-F238E27FC236}">
                <a16:creationId xmlns:a16="http://schemas.microsoft.com/office/drawing/2014/main" id="{50C53C19-DEE5-78B6-937F-FCF7025071C8}"/>
              </a:ext>
            </a:extLst>
          </xdr:cNvPr>
          <xdr:cNvSpPr/>
        </xdr:nvSpPr>
        <xdr:spPr>
          <a:xfrm>
            <a:off x="14502581" y="749710"/>
            <a:ext cx="2384322" cy="10446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F71EEA7-F99F-47D5-AF19-F3D44ACF4994}" type="TxLink">
              <a:rPr lang="en-US" sz="2800" b="1" i="0" u="none" strike="noStrike">
                <a:solidFill>
                  <a:srgbClr val="000000"/>
                </a:solidFill>
                <a:latin typeface="Aptos Narrow"/>
              </a:rPr>
              <a:t>Total Quantity</a:t>
            </a:fld>
            <a:endParaRPr lang="en-US" sz="2800"/>
          </a:p>
        </xdr:txBody>
      </xdr:sp>
      <xdr:sp macro="" textlink="'Online-Retail-Dataset'!L5">
        <xdr:nvSpPr>
          <xdr:cNvPr id="13" name="Rectangle 12">
            <a:extLst>
              <a:ext uri="{FF2B5EF4-FFF2-40B4-BE49-F238E27FC236}">
                <a16:creationId xmlns:a16="http://schemas.microsoft.com/office/drawing/2014/main" id="{A98B05A7-1DD7-A055-F3D4-ECAD8BFFE8DF}"/>
              </a:ext>
            </a:extLst>
          </xdr:cNvPr>
          <xdr:cNvSpPr/>
        </xdr:nvSpPr>
        <xdr:spPr>
          <a:xfrm>
            <a:off x="14637774" y="1229033"/>
            <a:ext cx="2027904" cy="430162"/>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9489F826-3BAE-4F16-8D43-FF85D3686FEB}" type="TxLink">
              <a:rPr lang="en-US" sz="3200" b="1" i="0" u="none" strike="noStrike">
                <a:solidFill>
                  <a:srgbClr val="000000"/>
                </a:solidFill>
                <a:latin typeface="Aptos Narrow"/>
              </a:rPr>
              <a:t>3748</a:t>
            </a:fld>
            <a:endParaRPr lang="en-US" sz="5400" b="1"/>
          </a:p>
        </xdr:txBody>
      </xdr:sp>
    </xdr:grpSp>
    <xdr:clientData/>
  </xdr:twoCellAnchor>
  <xdr:twoCellAnchor>
    <xdr:from>
      <xdr:col>23</xdr:col>
      <xdr:colOff>307258</xdr:colOff>
      <xdr:row>19</xdr:row>
      <xdr:rowOff>49163</xdr:rowOff>
    </xdr:from>
    <xdr:to>
      <xdr:col>28</xdr:col>
      <xdr:colOff>565354</xdr:colOff>
      <xdr:row>24</xdr:row>
      <xdr:rowOff>172066</xdr:rowOff>
    </xdr:to>
    <xdr:grpSp>
      <xdr:nvGrpSpPr>
        <xdr:cNvPr id="16" name="Group 15">
          <a:extLst>
            <a:ext uri="{FF2B5EF4-FFF2-40B4-BE49-F238E27FC236}">
              <a16:creationId xmlns:a16="http://schemas.microsoft.com/office/drawing/2014/main" id="{8AA978A7-ABE9-02EE-4564-BE8FDF48BBF2}"/>
            </a:ext>
          </a:extLst>
        </xdr:cNvPr>
        <xdr:cNvGrpSpPr/>
      </xdr:nvGrpSpPr>
      <xdr:grpSpPr>
        <a:xfrm>
          <a:off x="14441129" y="3551905"/>
          <a:ext cx="3330677" cy="1044677"/>
          <a:chOff x="14502581" y="749710"/>
          <a:chExt cx="2384322" cy="1044677"/>
        </a:xfrm>
      </xdr:grpSpPr>
      <xdr:sp macro="" textlink="'Online-Retail-Dataset'!K7">
        <xdr:nvSpPr>
          <xdr:cNvPr id="17" name="Rectangle 16">
            <a:extLst>
              <a:ext uri="{FF2B5EF4-FFF2-40B4-BE49-F238E27FC236}">
                <a16:creationId xmlns:a16="http://schemas.microsoft.com/office/drawing/2014/main" id="{E4B940F5-7A41-981F-E4D2-446D4B6AF03F}"/>
              </a:ext>
            </a:extLst>
          </xdr:cNvPr>
          <xdr:cNvSpPr/>
        </xdr:nvSpPr>
        <xdr:spPr>
          <a:xfrm>
            <a:off x="14502581" y="749710"/>
            <a:ext cx="2384322" cy="10446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41E0157-9BF5-4CA4-B2CA-82DD725DE70D}" type="TxLink">
              <a:rPr lang="en-US" sz="2800" b="1" i="0" u="none" strike="noStrike">
                <a:solidFill>
                  <a:srgbClr val="000000"/>
                </a:solidFill>
                <a:latin typeface="Aptos Narrow"/>
              </a:rPr>
              <a:t>Total Revenue</a:t>
            </a:fld>
            <a:endParaRPr lang="en-US" sz="6000" b="1"/>
          </a:p>
        </xdr:txBody>
      </xdr:sp>
      <xdr:sp macro="" textlink="'Online-Retail-Dataset'!L7">
        <xdr:nvSpPr>
          <xdr:cNvPr id="18" name="Rectangle 17">
            <a:extLst>
              <a:ext uri="{FF2B5EF4-FFF2-40B4-BE49-F238E27FC236}">
                <a16:creationId xmlns:a16="http://schemas.microsoft.com/office/drawing/2014/main" id="{4813EC82-354E-F729-D20F-27CE8FEA66E0}"/>
              </a:ext>
            </a:extLst>
          </xdr:cNvPr>
          <xdr:cNvSpPr/>
        </xdr:nvSpPr>
        <xdr:spPr>
          <a:xfrm>
            <a:off x="14637774" y="1229033"/>
            <a:ext cx="2027904" cy="430162"/>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D0A35543-88EE-45B7-AEB9-5B1DFAB10ABA}" type="TxLink">
              <a:rPr lang="en-US" sz="2800" b="1" i="0" u="none" strike="noStrike">
                <a:solidFill>
                  <a:srgbClr val="000000"/>
                </a:solidFill>
                <a:latin typeface="Aptos Narrow"/>
              </a:rPr>
              <a:t> $6,292.97 </a:t>
            </a:fld>
            <a:endParaRPr lang="en-US" sz="11500" b="1"/>
          </a:p>
        </xdr:txBody>
      </xdr:sp>
    </xdr:grpSp>
    <xdr:clientData/>
  </xdr:twoCellAnchor>
  <xdr:twoCellAnchor>
    <xdr:from>
      <xdr:col>23</xdr:col>
      <xdr:colOff>282678</xdr:colOff>
      <xdr:row>5</xdr:row>
      <xdr:rowOff>49167</xdr:rowOff>
    </xdr:from>
    <xdr:to>
      <xdr:col>28</xdr:col>
      <xdr:colOff>589934</xdr:colOff>
      <xdr:row>10</xdr:row>
      <xdr:rowOff>172070</xdr:rowOff>
    </xdr:to>
    <xdr:grpSp>
      <xdr:nvGrpSpPr>
        <xdr:cNvPr id="19" name="Group 18">
          <a:extLst>
            <a:ext uri="{FF2B5EF4-FFF2-40B4-BE49-F238E27FC236}">
              <a16:creationId xmlns:a16="http://schemas.microsoft.com/office/drawing/2014/main" id="{9E6635DF-400D-6223-D02A-67A4BF13CC1D}"/>
            </a:ext>
          </a:extLst>
        </xdr:cNvPr>
        <xdr:cNvGrpSpPr/>
      </xdr:nvGrpSpPr>
      <xdr:grpSpPr>
        <a:xfrm>
          <a:off x="14416549" y="970941"/>
          <a:ext cx="3379837" cy="1044677"/>
          <a:chOff x="14502581" y="749710"/>
          <a:chExt cx="2384322" cy="1044677"/>
        </a:xfrm>
      </xdr:grpSpPr>
      <xdr:sp macro="" textlink="'Online-Retail-Dataset'!K10">
        <xdr:nvSpPr>
          <xdr:cNvPr id="20" name="Rectangle 19">
            <a:extLst>
              <a:ext uri="{FF2B5EF4-FFF2-40B4-BE49-F238E27FC236}">
                <a16:creationId xmlns:a16="http://schemas.microsoft.com/office/drawing/2014/main" id="{B1D47ABA-1A9F-1920-6B39-B291702ADE45}"/>
              </a:ext>
            </a:extLst>
          </xdr:cNvPr>
          <xdr:cNvSpPr/>
        </xdr:nvSpPr>
        <xdr:spPr>
          <a:xfrm>
            <a:off x="14502581" y="749710"/>
            <a:ext cx="2384322" cy="10446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25C2C5E-C90A-454C-9146-F053717AFF38}" type="TxLink">
              <a:rPr lang="en-US" sz="3200" b="1" i="0" u="none" strike="noStrike">
                <a:solidFill>
                  <a:srgbClr val="000000"/>
                </a:solidFill>
                <a:latin typeface="Aptos Narrow"/>
              </a:rPr>
              <a:t>Total Transactions</a:t>
            </a:fld>
            <a:endParaRPr lang="en-US" sz="6600" b="1"/>
          </a:p>
        </xdr:txBody>
      </xdr:sp>
      <xdr:sp macro="" textlink="'Online-Retail-Dataset'!L10">
        <xdr:nvSpPr>
          <xdr:cNvPr id="21" name="Rectangle 20">
            <a:extLst>
              <a:ext uri="{FF2B5EF4-FFF2-40B4-BE49-F238E27FC236}">
                <a16:creationId xmlns:a16="http://schemas.microsoft.com/office/drawing/2014/main" id="{E140F152-9407-FAA4-D9F2-3AFC425E90A6}"/>
              </a:ext>
            </a:extLst>
          </xdr:cNvPr>
          <xdr:cNvSpPr/>
        </xdr:nvSpPr>
        <xdr:spPr>
          <a:xfrm>
            <a:off x="14637774" y="1229033"/>
            <a:ext cx="2027904" cy="430162"/>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BD55BCD1-B1C8-41F2-85C5-7F806EA7E288}" type="TxLink">
              <a:rPr lang="en-US" sz="3200" b="1" i="0" u="none" strike="noStrike">
                <a:solidFill>
                  <a:srgbClr val="000000"/>
                </a:solidFill>
                <a:latin typeface="Aptos Narrow"/>
              </a:rPr>
              <a:t>44</a:t>
            </a:fld>
            <a:endParaRPr lang="en-US" sz="138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 refreshedDate="46215.633251041669" createdVersion="8" refreshedVersion="8" minRefreshableVersion="3" recordCount="145" xr:uid="{5CFA7A73-D271-4C8E-A028-7F3B48FE463B}">
  <cacheSource type="worksheet">
    <worksheetSource name="online_retail_dataset"/>
  </cacheSource>
  <cacheFields count="12">
    <cacheField name="InvoiceNo" numFmtId="0">
      <sharedItems count="44">
        <s v="536365"/>
        <s v="536370"/>
        <s v="536389"/>
        <s v="536403"/>
        <s v="536527"/>
        <s v="536532"/>
        <s v="536540"/>
        <s v="536793"/>
        <s v="536803"/>
        <s v="536858"/>
        <s v="536944"/>
        <s v="536971"/>
        <s v="536990"/>
        <s v="537022"/>
        <s v="537026"/>
        <s v="537081"/>
        <s v="537218"/>
        <s v="537626"/>
        <s v="537676"/>
        <s v="538002"/>
        <s v="538003"/>
        <s v="538826"/>
        <s v="538848"/>
        <s v="539318"/>
        <s v="539330"/>
        <s v="539338"/>
        <s v="539491"/>
        <s v="539500"/>
        <s v="541932"/>
        <s v="541975"/>
        <s v="542102"/>
        <s v="542276"/>
        <s v="543911"/>
        <s v="544108"/>
        <s v="544838"/>
        <s v="545072"/>
        <s v="546533"/>
        <s v="549687"/>
        <s v="550201"/>
        <s v="550644"/>
        <s v="551013"/>
        <s v="552449"/>
        <s v="555931"/>
        <s v="571035"/>
      </sharedItems>
    </cacheField>
    <cacheField name="StockCode" numFmtId="0">
      <sharedItems/>
    </cacheField>
    <cacheField name="Description" numFmtId="0">
      <sharedItems count="130">
        <s v="WHITE HANGING HEART T-LIGHT HOLDER"/>
        <s v="WHITE METAL LANTERN"/>
        <s v="CREAM CUPID HEARTS COAT HANGER"/>
        <s v="KNITTED UNION FLAG HOT WATER BOTTLE"/>
        <s v="ALARM CLOCK BAKELIKE PINK"/>
        <s v="ALARM CLOCK BAKELIKE RED "/>
        <s v="ALARM CLOCK BAKELIKE GREEN"/>
        <s v="PANDA AND BUNNIES STICKER SHEET"/>
        <s v="CHRISTMAS LIGHTS 10 REINDEER"/>
        <s v="VINTAGE UNION JACK CUSHION COVER"/>
        <s v="VINTAGE HEADS AND TAILS CARD GAME "/>
        <s v="SET OF 3 COLOURED  FLYING DUCKS"/>
        <s v="SET OF 3 GOLD FLYING DUCKS"/>
        <s v="HAND WARMER BIRD DESIGN"/>
        <s v="POSTAGE"/>
        <s v="SET OF 6 T-LIGHTS SANTA"/>
        <s v="ROTATING SILVER ANGELS T-LIGHT HLDR"/>
        <s v="MULTI COLOUR SILVER T-LIGHT HOLDER"/>
        <s v="5 HOOK HANGER MAGIC TOADSTOOL"/>
        <s v="BOX OF 24 COCKTAIL PARASOLS"/>
        <s v="GROW YOUR OWN PLANT IN A CAN "/>
        <s v="CHILDREN'S APRON DOLLY GIRL "/>
        <s v="ROSE COTTAGE KEEPSAKE BOX "/>
        <s v="BLUE CHARLIE+LOLA PERSONAL DOORSIGN"/>
        <s v="CHARLIE+LOLA&quot;EXTREMELY BUSY&quot; SIGN"/>
        <s v="CHARLOTTE BAG SUKI DESIGN"/>
        <s v="LOLITA  DESIGN  COTTON TOTE BAG"/>
        <s v="ALARM CLOCK BAKELIKE CHOCOLATE"/>
        <s v="JAM MAKING SET WITH JARS"/>
        <s v="FELTCRAFT CUSHION OWL"/>
        <s v="FELTCRAFT CUSHION RABBIT"/>
        <s v="PINK BLUE FELT CRAFT TRINKET BOX"/>
        <s v="FELTCRAFT PRINCESS LOLA DOLL"/>
        <s v="VINTAGE SNAKES &amp; LADDERS"/>
        <s v="BLUE HARMONICA IN BOX "/>
        <s v="GREY HEART HOT WATER BOTTLE"/>
        <s v="ROUND SNACK BOXES SET OF4 WOODLAND "/>
        <s v="PLASTERS IN TIN WOODLAND ANIMALS"/>
        <s v="RED TOADSTOOL LED NIGHT LIGHT"/>
        <s v="LUNCH BAG SUKI  DESIGN "/>
        <s v="LUNCH BAG PINK POLKADOT"/>
        <s v="LUNCH BAG  BLACK SKULL."/>
        <s v="RED HANGING HEART T-LIGHT HOLDER"/>
        <s v="STRAWBERRY CERAMIC TRINKET BOX"/>
        <s v="MINI CAKE STAND WITH HANGING CAKES"/>
        <s v="VINTAGE PAISLEY STATIONERY SET"/>
        <s v="LUNCH BAG CARS BLUE"/>
        <s v="T-LIGHT GLASS FLUTED ANTIQUE"/>
        <s v="SCENTED VELVET LOUNGE CANDLE "/>
        <s v="BLUE FLOCK GLASS CANDLEHOLDER"/>
        <s v="SILVER GLITTER FLOWER VOTIVE HOLDER"/>
        <s v="6 CHOCOLATE LOVE HEART T-LIGHTS"/>
        <s v="SET OF 20 KIDS COOKIE CUTTERS"/>
        <s v="RED RETROSPOT ROUND CAKE TINS"/>
        <s v="PACK OF 72 RETROSPOT CAKE CASES"/>
        <s v="PACK OF 60 PINK PAISLEY CAKE CASES"/>
        <s v="MONEY BOX BISCUITS DESIGN"/>
        <s v="RED  HARMONICA IN BOX "/>
        <s v="EDWARDIAN PARASOL BLACK"/>
        <s v="SET OF 6 VINTAGE NOTELETS KIT"/>
        <s v="FANCY FONT BIRTHDAY CARD, "/>
        <s v="CARD CIRCUS PARADE"/>
        <s v="BLACK CANDELABRA T-LIGHT HOLDER"/>
        <s v="AIRLINE BAG VINTAGE JET SET BROWN"/>
        <s v="COLOUR GLASS. STAR T-LIGHT HOLDER"/>
        <s v="20 DOLLY PEGS RETROSPOT"/>
        <s v="DOORMAT HOME SWEET HOME BLUE "/>
        <s v="DOORMAT UNION JACK GUNS AND ROSES"/>
        <s v="DOORMAT RED RETROSPOT"/>
        <s v="DOORMAT FANCY FONT HOME SWEET HOME"/>
        <s v="YOU'RE CONFUSING ME METAL SIGN "/>
        <s v="BREAD BIN DINER STYLE IVORY"/>
        <s v="WOODEN OWLS LIGHT GARLAND "/>
        <s v="WOODLAND PARTY BAG + STICKER SET"/>
        <s v="DOORMAT RESPECTABLE HOUSE"/>
        <s v="SPACE CADET BLACK"/>
        <s v="SPACE OWL"/>
        <s v="SET OF 3 BABUSHKA STACKING TINS"/>
        <s v="72 SWEETHEART FAIRY CAKE CASES"/>
        <s v="60 CAKE CASES DOLLY GIRL DESIGN"/>
        <s v="60 TEATIME FAIRY CAKE CASES"/>
        <s v="PACK OF 72 SKULL CAKE CASES"/>
        <s v="CERAMIC CAKE STAND + HANGING CAKES"/>
        <s v="JAM JAR WITH PINK LID"/>
        <s v="SET3 BOOK BOX GREEN GINGHAM FLOWER "/>
        <s v="OFFICE MUG WARMER PINK"/>
        <s v="WORLD WAR 2 GLIDERS ASSTD DESIGNS"/>
        <s v="PACK OF 12 WOODLAND TISSUES "/>
        <s v="PACK OF 12 PINK POLKADOT TISSUES"/>
        <s v="OCEAN SCENT CANDLE IN JEWELLED BOX"/>
        <s v="ROSES REGENCY TEACUP AND SAUCER "/>
        <s v="GREEN REGENCY TEACUP AND SAUCER"/>
        <s v="SET 3 PAPER VINTAGE CHICK PAPER EGG"/>
        <s v="4 TRADITIONAL SPINNING TOPS"/>
        <s v="CHARLIE &amp; LOLA WASTEPAPER BIN FLORA"/>
        <s v="CHARLIE &amp; LOLA WASTEPAPER BIN BLUE"/>
        <s v="GIN &amp; TONIC DIET GREETING CARD "/>
        <s v="LAUNDRY 15C METAL SIGN"/>
        <s v="BEWARE OF THE CAT METAL SIGN "/>
        <s v="NO SINGING METAL SIGN"/>
        <s v="RETROSPOT HEART HOT WATER BOTTLE"/>
        <s v="DOORMAT UNION FLAG"/>
        <s v="LADIES &amp; GENTLEMEN METAL SIGN"/>
        <s v="WASHROOM METAL SIGN"/>
        <s v="HOOK, 1 HANGER ,MAGIC GARDEN"/>
        <s v="3 HOOK HANGER MAGIC GARDEN"/>
        <s v="ASSORTED BOTTLE TOP  MAGNETS "/>
        <s v="BAKING MOULD HEART MILK CHOCOLATE"/>
        <s v="COLOUR GLASS T-LIGHT HOLDER HANGING"/>
        <s v="T-LIGHT HOLDER WHITE LACE"/>
        <s v="BOX OF 9 PEBBLE CANDLES"/>
        <s v="TUMBLER, BAROQUE"/>
        <s v="SILVER STANDING GNOME   "/>
        <s v="ASSORTED COLOUR BIRD ORNAMENT"/>
        <s v="DOORMAT WELCOME SUNRISE"/>
        <s v="DOORMAT MULTICOLOUR STRIPE"/>
        <s v="REGENCY CAKESTAND 3 TIER"/>
        <s v="SET OF 6 SPICE TINS PANTRY DESIGN"/>
        <s v="PANTRY WASHING UP BRUSH"/>
        <s v="SET OF 36 TEATIME PAPER DOILIES"/>
        <s v="SET OF 3 CAKE TINS PANTRY DESIGN "/>
        <s v="3 TIER CAKE TIN GREEN AND CREAM"/>
        <s v="ROUND CAKE TIN VINTAGE RED"/>
        <s v="ROUND CAKE TIN VINTAGE GREEN"/>
        <s v="NATURAL SLATE HEART CHALKBOARD "/>
        <s v="GROW A FLYTRAP OR SUNFLOWER IN TIN"/>
        <s v="LANTERN CREAM GAZEBO "/>
        <s v="SET OF 6 GIRLS CELEBRATION CANDLES"/>
        <s v="RED RETROSPOT CUP"/>
        <s v="PINK  POLKADOT PLATE "/>
      </sharedItems>
    </cacheField>
    <cacheField name="Quantity" numFmtId="0">
      <sharedItems containsSemiMixedTypes="0" containsString="0" containsNumber="1" containsInteger="1" minValue="1" maxValue="576"/>
    </cacheField>
    <cacheField name="InvoiceDate" numFmtId="22">
      <sharedItems containsSemiMixedTypes="0" containsNonDate="0" containsDate="1" containsString="0" minDate="2010-12-01T08:26:00" maxDate="2011-10-13T12:50:00" count="44">
        <d v="2010-12-01T08:26:00"/>
        <d v="2010-12-01T08:45:00"/>
        <d v="2010-12-01T10:03:00"/>
        <d v="2010-12-01T11:27:00"/>
        <d v="2010-12-01T13:04:00"/>
        <d v="2010-12-01T13:24:00"/>
        <d v="2010-12-01T14:05:00"/>
        <d v="2010-12-02T15:39:00"/>
        <d v="2010-12-02T16:33:00"/>
        <d v="2010-12-03T10:36:00"/>
        <d v="2010-12-03T12:20:00"/>
        <d v="2010-12-03T13:40:00"/>
        <d v="2010-12-03T15:14:00"/>
        <d v="2010-12-03T15:45:00"/>
        <d v="2010-12-03T16:35:00"/>
        <d v="2010-12-05T12:00:00"/>
        <d v="2010-12-05T15:46:00"/>
        <d v="2010-12-07T14:57:00"/>
        <d v="2010-12-08T09:53:00"/>
        <d v="2010-12-09T11:48:00"/>
        <d v="2010-12-09T12:05:00"/>
        <d v="2010-12-14T12:58:00"/>
        <d v="2010-12-14T13:28:00"/>
        <d v="2010-12-16T19:09:00"/>
        <d v="2010-12-17T09:38:00"/>
        <d v="2010-12-17T10:54:00"/>
        <d v="2010-12-20T10:09:00"/>
        <d v="2010-12-20T11:02:00"/>
        <d v="2011-01-24T11:39:00"/>
        <d v="2011-01-24T14:24:00"/>
        <d v="2011-01-25T13:26:00"/>
        <d v="2011-01-27T10:19:00"/>
        <d v="2011-02-14T12:46:00"/>
        <d v="2011-02-16T10:53:00"/>
        <d v="2011-02-24T10:34:00"/>
        <d v="2011-02-28T08:43:00"/>
        <d v="2011-03-14T13:53:00"/>
        <d v="2011-04-11T13:29:00"/>
        <d v="2011-04-15T10:25:00"/>
        <d v="2011-04-19T16:19:00"/>
        <d v="2011-04-26T10:54:00"/>
        <d v="2011-05-09T13:49:00"/>
        <d v="2011-06-08T08:31:00"/>
        <d v="2011-10-13T12:50:00"/>
      </sharedItems>
      <fieldGroup par="11"/>
    </cacheField>
    <cacheField name="UnitPrice" numFmtId="44">
      <sharedItems containsSemiMixedTypes="0" containsString="0" containsNumber="1" minValue="0.28999999999999998" maxValue="15"/>
    </cacheField>
    <cacheField name="CustomerID" numFmtId="0">
      <sharedItems containsSemiMixedTypes="0" containsString="0" containsNumber="1" containsInteger="1" minValue="12347" maxValue="17850" count="40">
        <n v="17850"/>
        <n v="12583"/>
        <n v="12431"/>
        <n v="12791"/>
        <n v="12662"/>
        <n v="12433"/>
        <n v="14911"/>
        <n v="16203"/>
        <n v="13520"/>
        <n v="12557"/>
        <n v="12779"/>
        <n v="12793"/>
        <n v="12725"/>
        <n v="12395"/>
        <n v="15332"/>
        <n v="12763"/>
        <n v="12347"/>
        <n v="12386"/>
        <n v="14932"/>
        <n v="12429"/>
        <n v="12370"/>
        <n v="17404"/>
        <n v="12348"/>
        <n v="14646"/>
        <n v="12355"/>
        <n v="14439"/>
        <n v="12377"/>
        <n v="12744"/>
        <n v="12764"/>
        <n v="17829"/>
        <n v="12653"/>
        <n v="12565"/>
        <n v="12781"/>
        <n v="15388"/>
        <n v="12363"/>
        <n v="12769"/>
        <n v="12733"/>
        <n v="15108"/>
        <n v="17828"/>
        <n v="12446"/>
      </sharedItems>
    </cacheField>
    <cacheField name="Country" numFmtId="0">
      <sharedItems count="38">
        <s v="United Kingdom"/>
        <s v="France"/>
        <s v="Australia"/>
        <s v="Netherlands"/>
        <s v="Germany"/>
        <s v="Norway"/>
        <s v="EIRE"/>
        <s v="Switzerland"/>
        <s v="Spain"/>
        <s v="Poland"/>
        <s v="Portugal"/>
        <s v="Italy"/>
        <s v="Belgium"/>
        <s v="Lithuania"/>
        <s v="Japan"/>
        <s v="Iceland"/>
        <s v="Channel Islands"/>
        <s v="Denmark"/>
        <s v="Cyprus"/>
        <s v="Sweden"/>
        <s v="Finland"/>
        <s v="Austria"/>
        <s v="Bahrain"/>
        <s v="Greece"/>
        <s v="Hong Kong"/>
        <s v="Singapore"/>
        <s v="Lebanon"/>
        <s v="United Arab Emirates"/>
        <s v="Israel"/>
        <s v="Saudi Arabia"/>
        <s v="Czech Republic"/>
        <s v="Canada"/>
        <s v="Unspecified"/>
        <s v="Brazil"/>
        <s v="USA"/>
        <s v="European Community"/>
        <s v="Malta"/>
        <s v="RSA"/>
      </sharedItems>
    </cacheField>
    <cacheField name="Revenue" numFmtId="44">
      <sharedItems containsSemiMixedTypes="0" containsString="0" containsNumber="1" minValue="2.9" maxValue="1188"/>
    </cacheField>
    <cacheField name="Months (InvoiceDate)" numFmtId="0" databaseField="0">
      <fieldGroup base="4">
        <rangePr groupBy="months" startDate="2010-12-01T08:26:00" endDate="2011-10-13T12:50:00"/>
        <groupItems count="14">
          <s v="&lt;12/1/2010"/>
          <s v="Jan"/>
          <s v="Feb"/>
          <s v="Mar"/>
          <s v="Apr"/>
          <s v="May"/>
          <s v="Jun"/>
          <s v="Jul"/>
          <s v="Aug"/>
          <s v="Sep"/>
          <s v="Oct"/>
          <s v="Nov"/>
          <s v="Dec"/>
          <s v="&gt;10/13/2011"/>
        </groupItems>
      </fieldGroup>
    </cacheField>
    <cacheField name="Quarters (InvoiceDate)" numFmtId="0" databaseField="0">
      <fieldGroup base="4">
        <rangePr groupBy="quarters" startDate="2010-12-01T08:26:00" endDate="2011-10-13T12:50:00"/>
        <groupItems count="6">
          <s v="&lt;12/1/2010"/>
          <s v="Qtr1"/>
          <s v="Qtr2"/>
          <s v="Qtr3"/>
          <s v="Qtr4"/>
          <s v="&gt;10/13/2011"/>
        </groupItems>
      </fieldGroup>
    </cacheField>
    <cacheField name="Years (InvoiceDate)" numFmtId="0" databaseField="0">
      <fieldGroup base="4">
        <rangePr groupBy="years" startDate="2010-12-01T08:26:00" endDate="2011-10-13T12:50:00"/>
        <groupItems count="4">
          <s v="&lt;12/1/2010"/>
          <s v="2010"/>
          <s v="2011"/>
          <s v="&gt;10/13/2011"/>
        </groupItems>
      </fieldGroup>
    </cacheField>
  </cacheFields>
  <extLst>
    <ext xmlns:x14="http://schemas.microsoft.com/office/spreadsheetml/2009/9/main" uri="{725AE2AE-9491-48be-B2B4-4EB974FC3084}">
      <x14:pivotCacheDefinition pivotCacheId="1701543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s v="85123A"/>
    <x v="0"/>
    <n v="6"/>
    <x v="0"/>
    <n v="2.5499999999999998"/>
    <x v="0"/>
    <x v="0"/>
    <n v="15.299999999999999"/>
  </r>
  <r>
    <x v="0"/>
    <s v="71053"/>
    <x v="1"/>
    <n v="6"/>
    <x v="0"/>
    <n v="3.39"/>
    <x v="0"/>
    <x v="0"/>
    <n v="20.34"/>
  </r>
  <r>
    <x v="0"/>
    <s v="84406B"/>
    <x v="2"/>
    <n v="8"/>
    <x v="0"/>
    <n v="2.75"/>
    <x v="0"/>
    <x v="0"/>
    <n v="22"/>
  </r>
  <r>
    <x v="0"/>
    <s v="84029G"/>
    <x v="3"/>
    <n v="6"/>
    <x v="0"/>
    <n v="3.39"/>
    <x v="0"/>
    <x v="0"/>
    <n v="20.34"/>
  </r>
  <r>
    <x v="1"/>
    <s v="22728"/>
    <x v="4"/>
    <n v="24"/>
    <x v="1"/>
    <n v="3.75"/>
    <x v="1"/>
    <x v="1"/>
    <n v="90"/>
  </r>
  <r>
    <x v="1"/>
    <s v="22727"/>
    <x v="5"/>
    <n v="24"/>
    <x v="1"/>
    <n v="3.75"/>
    <x v="1"/>
    <x v="1"/>
    <n v="90"/>
  </r>
  <r>
    <x v="1"/>
    <s v="22726"/>
    <x v="6"/>
    <n v="12"/>
    <x v="1"/>
    <n v="3.75"/>
    <x v="1"/>
    <x v="1"/>
    <n v="45"/>
  </r>
  <r>
    <x v="1"/>
    <s v="21724"/>
    <x v="7"/>
    <n v="12"/>
    <x v="1"/>
    <n v="0.85"/>
    <x v="1"/>
    <x v="1"/>
    <n v="10.199999999999999"/>
  </r>
  <r>
    <x v="2"/>
    <s v="22941"/>
    <x v="8"/>
    <n v="6"/>
    <x v="2"/>
    <n v="8.5"/>
    <x v="2"/>
    <x v="2"/>
    <n v="51"/>
  </r>
  <r>
    <x v="2"/>
    <s v="21622"/>
    <x v="9"/>
    <n v="8"/>
    <x v="2"/>
    <n v="4.95"/>
    <x v="2"/>
    <x v="2"/>
    <n v="39.6"/>
  </r>
  <r>
    <x v="2"/>
    <s v="21791"/>
    <x v="10"/>
    <n v="12"/>
    <x v="2"/>
    <n v="1.25"/>
    <x v="2"/>
    <x v="2"/>
    <n v="15"/>
  </r>
  <r>
    <x v="2"/>
    <s v="35004C"/>
    <x v="11"/>
    <n v="6"/>
    <x v="2"/>
    <n v="5.45"/>
    <x v="2"/>
    <x v="2"/>
    <n v="32.700000000000003"/>
  </r>
  <r>
    <x v="2"/>
    <s v="35004G"/>
    <x v="12"/>
    <n v="4"/>
    <x v="2"/>
    <n v="6.35"/>
    <x v="2"/>
    <x v="2"/>
    <n v="25.4"/>
  </r>
  <r>
    <x v="3"/>
    <s v="22867"/>
    <x v="13"/>
    <n v="96"/>
    <x v="3"/>
    <n v="1.85"/>
    <x v="3"/>
    <x v="3"/>
    <n v="177.60000000000002"/>
  </r>
  <r>
    <x v="3"/>
    <s v="POST"/>
    <x v="14"/>
    <n v="1"/>
    <x v="3"/>
    <n v="15"/>
    <x v="3"/>
    <x v="3"/>
    <n v="15"/>
  </r>
  <r>
    <x v="4"/>
    <s v="22809"/>
    <x v="15"/>
    <n v="6"/>
    <x v="4"/>
    <n v="2.95"/>
    <x v="4"/>
    <x v="4"/>
    <n v="17.700000000000003"/>
  </r>
  <r>
    <x v="4"/>
    <s v="84347"/>
    <x v="16"/>
    <n v="6"/>
    <x v="4"/>
    <n v="2.5499999999999998"/>
    <x v="4"/>
    <x v="4"/>
    <n v="15.299999999999999"/>
  </r>
  <r>
    <x v="4"/>
    <s v="84945"/>
    <x v="17"/>
    <n v="12"/>
    <x v="4"/>
    <n v="0.85"/>
    <x v="4"/>
    <x v="4"/>
    <n v="10.199999999999999"/>
  </r>
  <r>
    <x v="4"/>
    <s v="22242"/>
    <x v="18"/>
    <n v="12"/>
    <x v="4"/>
    <n v="1.65"/>
    <x v="4"/>
    <x v="4"/>
    <n v="19.799999999999997"/>
  </r>
  <r>
    <x v="5"/>
    <s v="84692"/>
    <x v="19"/>
    <n v="50"/>
    <x v="5"/>
    <n v="0.42"/>
    <x v="5"/>
    <x v="5"/>
    <n v="21"/>
  </r>
  <r>
    <x v="5"/>
    <s v="22444"/>
    <x v="20"/>
    <n v="96"/>
    <x v="5"/>
    <n v="1.06"/>
    <x v="5"/>
    <x v="5"/>
    <n v="101.76"/>
  </r>
  <r>
    <x v="5"/>
    <s v="22899"/>
    <x v="21"/>
    <n v="8"/>
    <x v="5"/>
    <n v="2.1"/>
    <x v="5"/>
    <x v="5"/>
    <n v="16.8"/>
  </r>
  <r>
    <x v="6"/>
    <s v="22968"/>
    <x v="22"/>
    <n v="4"/>
    <x v="6"/>
    <n v="9.9499999999999993"/>
    <x v="6"/>
    <x v="6"/>
    <n v="39.799999999999997"/>
  </r>
  <r>
    <x v="6"/>
    <s v="85071A"/>
    <x v="23"/>
    <n v="6"/>
    <x v="6"/>
    <n v="2.95"/>
    <x v="6"/>
    <x v="6"/>
    <n v="17.700000000000003"/>
  </r>
  <r>
    <x v="6"/>
    <s v="85071C"/>
    <x v="24"/>
    <n v="6"/>
    <x v="6"/>
    <n v="2.5499999999999998"/>
    <x v="6"/>
    <x v="6"/>
    <n v="15.299999999999999"/>
  </r>
  <r>
    <x v="6"/>
    <s v="22355"/>
    <x v="25"/>
    <n v="50"/>
    <x v="6"/>
    <n v="0.85"/>
    <x v="6"/>
    <x v="6"/>
    <n v="42.5"/>
  </r>
  <r>
    <x v="6"/>
    <s v="21579"/>
    <x v="26"/>
    <n v="6"/>
    <x v="6"/>
    <n v="2.25"/>
    <x v="6"/>
    <x v="6"/>
    <n v="13.5"/>
  </r>
  <r>
    <x v="7"/>
    <s v="22725"/>
    <x v="27"/>
    <n v="4"/>
    <x v="7"/>
    <n v="3.75"/>
    <x v="7"/>
    <x v="0"/>
    <n v="15"/>
  </r>
  <r>
    <x v="7"/>
    <s v="22726"/>
    <x v="6"/>
    <n v="4"/>
    <x v="7"/>
    <n v="3.75"/>
    <x v="7"/>
    <x v="0"/>
    <n v="15"/>
  </r>
  <r>
    <x v="7"/>
    <s v="22960"/>
    <x v="28"/>
    <n v="6"/>
    <x v="7"/>
    <n v="4.25"/>
    <x v="7"/>
    <x v="0"/>
    <n v="25.5"/>
  </r>
  <r>
    <x v="7"/>
    <s v="22568"/>
    <x v="29"/>
    <n v="4"/>
    <x v="7"/>
    <n v="3.75"/>
    <x v="7"/>
    <x v="0"/>
    <n v="15"/>
  </r>
  <r>
    <x v="7"/>
    <s v="22570"/>
    <x v="30"/>
    <n v="4"/>
    <x v="7"/>
    <n v="3.75"/>
    <x v="7"/>
    <x v="0"/>
    <n v="15"/>
  </r>
  <r>
    <x v="7"/>
    <s v="20971"/>
    <x v="31"/>
    <n v="12"/>
    <x v="7"/>
    <n v="1.25"/>
    <x v="7"/>
    <x v="0"/>
    <n v="15"/>
  </r>
  <r>
    <x v="7"/>
    <s v="22750"/>
    <x v="32"/>
    <n v="4"/>
    <x v="7"/>
    <n v="3.75"/>
    <x v="7"/>
    <x v="0"/>
    <n v="15"/>
  </r>
  <r>
    <x v="7"/>
    <s v="21912"/>
    <x v="33"/>
    <n v="4"/>
    <x v="7"/>
    <n v="3.75"/>
    <x v="7"/>
    <x v="0"/>
    <n v="15"/>
  </r>
  <r>
    <x v="7"/>
    <s v="21914"/>
    <x v="34"/>
    <n v="12"/>
    <x v="7"/>
    <n v="1.25"/>
    <x v="7"/>
    <x v="0"/>
    <n v="15"/>
  </r>
  <r>
    <x v="8"/>
    <s v="22113"/>
    <x v="35"/>
    <n v="6"/>
    <x v="8"/>
    <n v="3.75"/>
    <x v="6"/>
    <x v="6"/>
    <n v="22.5"/>
  </r>
  <r>
    <x v="9"/>
    <s v="22326"/>
    <x v="36"/>
    <n v="30"/>
    <x v="9"/>
    <n v="2.95"/>
    <x v="8"/>
    <x v="7"/>
    <n v="88.5"/>
  </r>
  <r>
    <x v="9"/>
    <s v="22554"/>
    <x v="37"/>
    <n v="36"/>
    <x v="9"/>
    <n v="1.65"/>
    <x v="8"/>
    <x v="7"/>
    <n v="59.4"/>
  </r>
  <r>
    <x v="9"/>
    <s v="21731"/>
    <x v="38"/>
    <n v="24"/>
    <x v="9"/>
    <n v="1.65"/>
    <x v="8"/>
    <x v="7"/>
    <n v="39.599999999999994"/>
  </r>
  <r>
    <x v="10"/>
    <s v="22383"/>
    <x v="39"/>
    <n v="70"/>
    <x v="10"/>
    <n v="1.65"/>
    <x v="9"/>
    <x v="8"/>
    <n v="115.5"/>
  </r>
  <r>
    <x v="10"/>
    <s v="22384"/>
    <x v="40"/>
    <n v="100"/>
    <x v="10"/>
    <n v="1.45"/>
    <x v="9"/>
    <x v="8"/>
    <n v="145"/>
  </r>
  <r>
    <x v="10"/>
    <s v="20727"/>
    <x v="41"/>
    <n v="60"/>
    <x v="10"/>
    <n v="1.65"/>
    <x v="9"/>
    <x v="8"/>
    <n v="99"/>
  </r>
  <r>
    <x v="11"/>
    <s v="21733"/>
    <x v="42"/>
    <n v="32"/>
    <x v="11"/>
    <n v="2.5499999999999998"/>
    <x v="10"/>
    <x v="9"/>
    <n v="81.599999999999994"/>
  </r>
  <r>
    <x v="11"/>
    <s v="21232"/>
    <x v="43"/>
    <n v="24"/>
    <x v="11"/>
    <n v="1.25"/>
    <x v="10"/>
    <x v="9"/>
    <n v="30"/>
  </r>
  <r>
    <x v="11"/>
    <s v="37446"/>
    <x v="44"/>
    <n v="8"/>
    <x v="11"/>
    <n v="1.45"/>
    <x v="10"/>
    <x v="9"/>
    <n v="11.6"/>
  </r>
  <r>
    <x v="12"/>
    <s v="21992"/>
    <x v="45"/>
    <n v="6"/>
    <x v="12"/>
    <n v="2.95"/>
    <x v="11"/>
    <x v="10"/>
    <n v="17.700000000000003"/>
  </r>
  <r>
    <x v="12"/>
    <s v="22383"/>
    <x v="39"/>
    <n v="10"/>
    <x v="12"/>
    <n v="1.65"/>
    <x v="11"/>
    <x v="10"/>
    <n v="16.5"/>
  </r>
  <r>
    <x v="12"/>
    <s v="20728"/>
    <x v="46"/>
    <n v="14"/>
    <x v="12"/>
    <n v="1.65"/>
    <x v="11"/>
    <x v="10"/>
    <n v="23.099999999999998"/>
  </r>
  <r>
    <x v="13"/>
    <s v="22791"/>
    <x v="47"/>
    <n v="12"/>
    <x v="13"/>
    <n v="1.25"/>
    <x v="12"/>
    <x v="11"/>
    <n v="15"/>
  </r>
  <r>
    <x v="13"/>
    <s v="21287"/>
    <x v="48"/>
    <n v="12"/>
    <x v="13"/>
    <n v="1.25"/>
    <x v="12"/>
    <x v="11"/>
    <n v="15"/>
  </r>
  <r>
    <x v="13"/>
    <s v="79337"/>
    <x v="49"/>
    <n v="6"/>
    <x v="13"/>
    <n v="1.65"/>
    <x v="12"/>
    <x v="11"/>
    <n v="9.8999999999999986"/>
  </r>
  <r>
    <x v="13"/>
    <s v="85111"/>
    <x v="50"/>
    <n v="12"/>
    <x v="13"/>
    <n v="1.25"/>
    <x v="12"/>
    <x v="11"/>
    <n v="15"/>
  </r>
  <r>
    <x v="13"/>
    <s v="85038"/>
    <x v="51"/>
    <n v="6"/>
    <x v="13"/>
    <n v="2.1"/>
    <x v="12"/>
    <x v="11"/>
    <n v="12.600000000000001"/>
  </r>
  <r>
    <x v="14"/>
    <s v="84375"/>
    <x v="52"/>
    <n v="12"/>
    <x v="14"/>
    <n v="2.1"/>
    <x v="13"/>
    <x v="12"/>
    <n v="25.200000000000003"/>
  </r>
  <r>
    <x v="14"/>
    <s v="21217"/>
    <x v="53"/>
    <n v="2"/>
    <x v="14"/>
    <n v="9.9499999999999993"/>
    <x v="13"/>
    <x v="12"/>
    <n v="19.899999999999999"/>
  </r>
  <r>
    <x v="14"/>
    <s v="21212"/>
    <x v="54"/>
    <n v="120"/>
    <x v="14"/>
    <n v="0.42"/>
    <x v="13"/>
    <x v="12"/>
    <n v="50.4"/>
  </r>
  <r>
    <x v="14"/>
    <s v="21977"/>
    <x v="55"/>
    <n v="120"/>
    <x v="14"/>
    <n v="0.42"/>
    <x v="13"/>
    <x v="12"/>
    <n v="50.4"/>
  </r>
  <r>
    <x v="15"/>
    <s v="22409"/>
    <x v="56"/>
    <n v="12"/>
    <x v="15"/>
    <n v="1.25"/>
    <x v="14"/>
    <x v="13"/>
    <n v="15"/>
  </r>
  <r>
    <x v="15"/>
    <s v="21915"/>
    <x v="57"/>
    <n v="36"/>
    <x v="15"/>
    <n v="1.25"/>
    <x v="14"/>
    <x v="13"/>
    <n v="45"/>
  </r>
  <r>
    <x v="15"/>
    <s v="15056BL"/>
    <x v="58"/>
    <n v="12"/>
    <x v="15"/>
    <n v="5.95"/>
    <x v="14"/>
    <x v="13"/>
    <n v="71.400000000000006"/>
  </r>
  <r>
    <x v="16"/>
    <s v="85016"/>
    <x v="59"/>
    <n v="6"/>
    <x v="16"/>
    <n v="2.5499999999999998"/>
    <x v="15"/>
    <x v="14"/>
    <n v="15.299999999999999"/>
  </r>
  <r>
    <x v="16"/>
    <s v="21506"/>
    <x v="60"/>
    <n v="12"/>
    <x v="16"/>
    <n v="0.42"/>
    <x v="15"/>
    <x v="14"/>
    <n v="5.04"/>
  </r>
  <r>
    <x v="16"/>
    <s v="22716"/>
    <x v="61"/>
    <n v="12"/>
    <x v="16"/>
    <n v="0.42"/>
    <x v="15"/>
    <x v="14"/>
    <n v="5.04"/>
  </r>
  <r>
    <x v="17"/>
    <s v="85116"/>
    <x v="62"/>
    <n v="12"/>
    <x v="17"/>
    <n v="2.1"/>
    <x v="16"/>
    <x v="15"/>
    <n v="25.200000000000003"/>
  </r>
  <r>
    <x v="17"/>
    <s v="22375"/>
    <x v="63"/>
    <n v="4"/>
    <x v="17"/>
    <n v="4.25"/>
    <x v="16"/>
    <x v="15"/>
    <n v="17"/>
  </r>
  <r>
    <x v="17"/>
    <s v="71477"/>
    <x v="64"/>
    <n v="12"/>
    <x v="17"/>
    <n v="3.25"/>
    <x v="16"/>
    <x v="15"/>
    <n v="39"/>
  </r>
  <r>
    <x v="18"/>
    <s v="22567"/>
    <x v="65"/>
    <n v="24"/>
    <x v="18"/>
    <n v="1.25"/>
    <x v="17"/>
    <x v="2"/>
    <n v="30"/>
  </r>
  <r>
    <x v="19"/>
    <s v="22690"/>
    <x v="66"/>
    <n v="2"/>
    <x v="19"/>
    <n v="7.95"/>
    <x v="18"/>
    <x v="16"/>
    <n v="15.9"/>
  </r>
  <r>
    <x v="19"/>
    <s v="21955"/>
    <x v="67"/>
    <n v="2"/>
    <x v="19"/>
    <n v="7.95"/>
    <x v="18"/>
    <x v="16"/>
    <n v="15.9"/>
  </r>
  <r>
    <x v="19"/>
    <s v="20685"/>
    <x v="68"/>
    <n v="2"/>
    <x v="19"/>
    <n v="7.95"/>
    <x v="18"/>
    <x v="16"/>
    <n v="15.9"/>
  </r>
  <r>
    <x v="19"/>
    <s v="21523"/>
    <x v="69"/>
    <n v="2"/>
    <x v="19"/>
    <n v="7.95"/>
    <x v="18"/>
    <x v="16"/>
    <n v="15.9"/>
  </r>
  <r>
    <x v="19"/>
    <s v="21169"/>
    <x v="70"/>
    <n v="12"/>
    <x v="19"/>
    <n v="1.69"/>
    <x v="18"/>
    <x v="16"/>
    <n v="20.28"/>
  </r>
  <r>
    <x v="20"/>
    <s v="22847"/>
    <x v="71"/>
    <n v="8"/>
    <x v="20"/>
    <n v="14.95"/>
    <x v="19"/>
    <x v="17"/>
    <n v="119.6"/>
  </r>
  <r>
    <x v="20"/>
    <s v="22779"/>
    <x v="72"/>
    <n v="48"/>
    <x v="20"/>
    <n v="3.75"/>
    <x v="19"/>
    <x v="17"/>
    <n v="180"/>
  </r>
  <r>
    <x v="20"/>
    <s v="22331"/>
    <x v="73"/>
    <n v="8"/>
    <x v="20"/>
    <n v="1.65"/>
    <x v="19"/>
    <x v="17"/>
    <n v="13.2"/>
  </r>
  <r>
    <x v="20"/>
    <s v="22365"/>
    <x v="74"/>
    <n v="2"/>
    <x v="20"/>
    <n v="7.95"/>
    <x v="19"/>
    <x v="17"/>
    <n v="15.9"/>
  </r>
  <r>
    <x v="21"/>
    <s v="85123A"/>
    <x v="0"/>
    <n v="64"/>
    <x v="21"/>
    <n v="2.5499999999999998"/>
    <x v="20"/>
    <x v="18"/>
    <n v="163.19999999999999"/>
  </r>
  <r>
    <x v="21"/>
    <s v="21031"/>
    <x v="75"/>
    <n v="10"/>
    <x v="21"/>
    <n v="1.25"/>
    <x v="20"/>
    <x v="18"/>
    <n v="12.5"/>
  </r>
  <r>
    <x v="21"/>
    <s v="21026"/>
    <x v="76"/>
    <n v="10"/>
    <x v="21"/>
    <n v="1.25"/>
    <x v="20"/>
    <x v="18"/>
    <n v="12.5"/>
  </r>
  <r>
    <x v="22"/>
    <s v="85232B"/>
    <x v="77"/>
    <n v="240"/>
    <x v="22"/>
    <n v="4.95"/>
    <x v="21"/>
    <x v="19"/>
    <n v="1188"/>
  </r>
  <r>
    <x v="23"/>
    <s v="84992"/>
    <x v="78"/>
    <n v="72"/>
    <x v="23"/>
    <n v="0.55000000000000004"/>
    <x v="22"/>
    <x v="20"/>
    <n v="39.6"/>
  </r>
  <r>
    <x v="23"/>
    <s v="22951"/>
    <x v="79"/>
    <n v="72"/>
    <x v="23"/>
    <n v="0.55000000000000004"/>
    <x v="22"/>
    <x v="20"/>
    <n v="39.6"/>
  </r>
  <r>
    <x v="23"/>
    <s v="84991"/>
    <x v="80"/>
    <n v="24"/>
    <x v="23"/>
    <n v="0.55000000000000004"/>
    <x v="22"/>
    <x v="20"/>
    <n v="13.200000000000001"/>
  </r>
  <r>
    <x v="23"/>
    <s v="84991"/>
    <x v="80"/>
    <n v="120"/>
    <x v="23"/>
    <n v="0.42"/>
    <x v="22"/>
    <x v="20"/>
    <n v="50.4"/>
  </r>
  <r>
    <x v="23"/>
    <s v="21213"/>
    <x v="81"/>
    <n v="24"/>
    <x v="23"/>
    <n v="0.55000000000000004"/>
    <x v="22"/>
    <x v="20"/>
    <n v="13.200000000000001"/>
  </r>
  <r>
    <x v="24"/>
    <s v="37449"/>
    <x v="82"/>
    <n v="8"/>
    <x v="24"/>
    <n v="8.5"/>
    <x v="20"/>
    <x v="21"/>
    <n v="68"/>
  </r>
  <r>
    <x v="24"/>
    <s v="37446"/>
    <x v="44"/>
    <n v="8"/>
    <x v="24"/>
    <n v="1.45"/>
    <x v="20"/>
    <x v="21"/>
    <n v="11.6"/>
  </r>
  <r>
    <x v="24"/>
    <s v="22962"/>
    <x v="83"/>
    <n v="12"/>
    <x v="24"/>
    <n v="0.85"/>
    <x v="20"/>
    <x v="21"/>
    <n v="10.199999999999999"/>
  </r>
  <r>
    <x v="24"/>
    <s v="21428"/>
    <x v="84"/>
    <n v="4"/>
    <x v="24"/>
    <n v="4.25"/>
    <x v="20"/>
    <x v="21"/>
    <n v="17"/>
  </r>
  <r>
    <x v="24"/>
    <s v="22113"/>
    <x v="35"/>
    <n v="4"/>
    <x v="24"/>
    <n v="3.75"/>
    <x v="20"/>
    <x v="21"/>
    <n v="15"/>
  </r>
  <r>
    <x v="24"/>
    <s v="22313"/>
    <x v="85"/>
    <n v="6"/>
    <x v="24"/>
    <n v="2.95"/>
    <x v="20"/>
    <x v="21"/>
    <n v="17.700000000000003"/>
  </r>
  <r>
    <x v="25"/>
    <s v="84077"/>
    <x v="86"/>
    <n v="576"/>
    <x v="25"/>
    <n v="0.28999999999999998"/>
    <x v="21"/>
    <x v="19"/>
    <n v="167.04"/>
  </r>
  <r>
    <x v="25"/>
    <s v="22951"/>
    <x v="79"/>
    <n v="240"/>
    <x v="25"/>
    <n v="0.55000000000000004"/>
    <x v="21"/>
    <x v="19"/>
    <n v="132"/>
  </r>
  <r>
    <x v="26"/>
    <s v="21981"/>
    <x v="87"/>
    <n v="12"/>
    <x v="26"/>
    <n v="0.28999999999999998"/>
    <x v="23"/>
    <x v="3"/>
    <n v="3.4799999999999995"/>
  </r>
  <r>
    <x v="26"/>
    <s v="21986"/>
    <x v="88"/>
    <n v="12"/>
    <x v="26"/>
    <n v="0.28999999999999998"/>
    <x v="23"/>
    <x v="3"/>
    <n v="3.4799999999999995"/>
  </r>
  <r>
    <x v="27"/>
    <s v="72802B"/>
    <x v="89"/>
    <n v="54"/>
    <x v="27"/>
    <n v="3.81"/>
    <x v="24"/>
    <x v="22"/>
    <n v="205.74"/>
  </r>
  <r>
    <x v="28"/>
    <s v="22699"/>
    <x v="90"/>
    <n v="24"/>
    <x v="28"/>
    <n v="2.5499999999999998"/>
    <x v="25"/>
    <x v="23"/>
    <n v="61.199999999999996"/>
  </r>
  <r>
    <x v="28"/>
    <s v="22697"/>
    <x v="91"/>
    <n v="24"/>
    <x v="28"/>
    <n v="2.5499999999999998"/>
    <x v="25"/>
    <x v="23"/>
    <n v="61.199999999999996"/>
  </r>
  <r>
    <x v="28"/>
    <s v="22957"/>
    <x v="92"/>
    <n v="24"/>
    <x v="28"/>
    <n v="2.95"/>
    <x v="25"/>
    <x v="23"/>
    <n v="70.800000000000011"/>
  </r>
  <r>
    <x v="29"/>
    <s v="22620"/>
    <x v="93"/>
    <n v="60"/>
    <x v="29"/>
    <n v="1.25"/>
    <x v="26"/>
    <x v="24"/>
    <n v="75"/>
  </r>
  <r>
    <x v="29"/>
    <s v="85183B"/>
    <x v="94"/>
    <n v="6"/>
    <x v="29"/>
    <n v="3.75"/>
    <x v="26"/>
    <x v="24"/>
    <n v="22.5"/>
  </r>
  <r>
    <x v="29"/>
    <s v="85183A"/>
    <x v="95"/>
    <n v="6"/>
    <x v="29"/>
    <n v="3.75"/>
    <x v="26"/>
    <x v="24"/>
    <n v="22.5"/>
  </r>
  <r>
    <x v="30"/>
    <s v="21519"/>
    <x v="96"/>
    <n v="72"/>
    <x v="30"/>
    <n v="0.36"/>
    <x v="27"/>
    <x v="25"/>
    <n v="25.919999999999998"/>
  </r>
  <r>
    <x v="30"/>
    <s v="22697"/>
    <x v="91"/>
    <n v="6"/>
    <x v="30"/>
    <n v="2.95"/>
    <x v="27"/>
    <x v="25"/>
    <n v="17.700000000000003"/>
  </r>
  <r>
    <x v="31"/>
    <s v="82551"/>
    <x v="97"/>
    <n v="12"/>
    <x v="31"/>
    <n v="1.45"/>
    <x v="28"/>
    <x v="26"/>
    <n v="17.399999999999999"/>
  </r>
  <r>
    <x v="31"/>
    <s v="21165"/>
    <x v="98"/>
    <n v="12"/>
    <x v="31"/>
    <n v="1.69"/>
    <x v="28"/>
    <x v="26"/>
    <n v="20.28"/>
  </r>
  <r>
    <x v="31"/>
    <s v="82600"/>
    <x v="99"/>
    <n v="12"/>
    <x v="31"/>
    <n v="2.1"/>
    <x v="28"/>
    <x v="26"/>
    <n v="25.200000000000003"/>
  </r>
  <r>
    <x v="32"/>
    <s v="21485"/>
    <x v="100"/>
    <n v="6"/>
    <x v="32"/>
    <n v="4.95"/>
    <x v="29"/>
    <x v="27"/>
    <n v="29.700000000000003"/>
  </r>
  <r>
    <x v="32"/>
    <s v="48138"/>
    <x v="101"/>
    <n v="2"/>
    <x v="32"/>
    <n v="7.95"/>
    <x v="29"/>
    <x v="27"/>
    <n v="15.9"/>
  </r>
  <r>
    <x v="32"/>
    <s v="85150"/>
    <x v="102"/>
    <n v="24"/>
    <x v="32"/>
    <n v="2.5499999999999998"/>
    <x v="29"/>
    <x v="27"/>
    <n v="61.199999999999996"/>
  </r>
  <r>
    <x v="32"/>
    <s v="82552"/>
    <x v="103"/>
    <n v="24"/>
    <x v="32"/>
    <n v="1.45"/>
    <x v="29"/>
    <x v="27"/>
    <n v="34.799999999999997"/>
  </r>
  <r>
    <x v="32"/>
    <s v="82551"/>
    <x v="97"/>
    <n v="12"/>
    <x v="32"/>
    <n v="1.45"/>
    <x v="29"/>
    <x v="27"/>
    <n v="17.399999999999999"/>
  </r>
  <r>
    <x v="33"/>
    <s v="22245"/>
    <x v="104"/>
    <n v="24"/>
    <x v="33"/>
    <n v="0.85"/>
    <x v="30"/>
    <x v="28"/>
    <n v="20.399999999999999"/>
  </r>
  <r>
    <x v="33"/>
    <s v="22244"/>
    <x v="105"/>
    <n v="12"/>
    <x v="33"/>
    <n v="1.95"/>
    <x v="30"/>
    <x v="28"/>
    <n v="23.4"/>
  </r>
  <r>
    <x v="34"/>
    <s v="22915"/>
    <x v="106"/>
    <n v="12"/>
    <x v="34"/>
    <n v="0.42"/>
    <x v="31"/>
    <x v="29"/>
    <n v="5.04"/>
  </r>
  <r>
    <x v="35"/>
    <s v="22930"/>
    <x v="107"/>
    <n v="18"/>
    <x v="35"/>
    <n v="2.5499999999999998"/>
    <x v="32"/>
    <x v="30"/>
    <n v="45.9"/>
  </r>
  <r>
    <x v="35"/>
    <s v="84755"/>
    <x v="108"/>
    <n v="48"/>
    <x v="35"/>
    <n v="0.65"/>
    <x v="32"/>
    <x v="30"/>
    <n v="31.200000000000003"/>
  </r>
  <r>
    <x v="35"/>
    <s v="22216"/>
    <x v="109"/>
    <n v="24"/>
    <x v="35"/>
    <n v="0.85"/>
    <x v="32"/>
    <x v="30"/>
    <n v="20.399999999999999"/>
  </r>
  <r>
    <x v="36"/>
    <s v="20886"/>
    <x v="110"/>
    <n v="12"/>
    <x v="36"/>
    <n v="1.95"/>
    <x v="33"/>
    <x v="31"/>
    <n v="23.4"/>
  </r>
  <r>
    <x v="36"/>
    <s v="79030D"/>
    <x v="111"/>
    <n v="6"/>
    <x v="36"/>
    <n v="1.65"/>
    <x v="33"/>
    <x v="31"/>
    <n v="9.8999999999999986"/>
  </r>
  <r>
    <x v="36"/>
    <s v="21132"/>
    <x v="112"/>
    <n v="4"/>
    <x v="36"/>
    <n v="4.25"/>
    <x v="33"/>
    <x v="31"/>
    <n v="17"/>
  </r>
  <r>
    <x v="36"/>
    <s v="84879"/>
    <x v="113"/>
    <n v="8"/>
    <x v="36"/>
    <n v="1.69"/>
    <x v="33"/>
    <x v="31"/>
    <n v="13.52"/>
  </r>
  <r>
    <x v="37"/>
    <s v="20685"/>
    <x v="68"/>
    <n v="2"/>
    <x v="37"/>
    <n v="7.95"/>
    <x v="34"/>
    <x v="32"/>
    <n v="15.9"/>
  </r>
  <r>
    <x v="37"/>
    <s v="22691"/>
    <x v="114"/>
    <n v="2"/>
    <x v="37"/>
    <n v="7.95"/>
    <x v="34"/>
    <x v="32"/>
    <n v="15.9"/>
  </r>
  <r>
    <x v="37"/>
    <s v="48116"/>
    <x v="115"/>
    <n v="2"/>
    <x v="37"/>
    <n v="7.95"/>
    <x v="34"/>
    <x v="32"/>
    <n v="15.9"/>
  </r>
  <r>
    <x v="37"/>
    <s v="21213"/>
    <x v="81"/>
    <n v="24"/>
    <x v="37"/>
    <n v="0.55000000000000004"/>
    <x v="34"/>
    <x v="32"/>
    <n v="13.200000000000001"/>
  </r>
  <r>
    <x v="37"/>
    <s v="21977"/>
    <x v="55"/>
    <n v="24"/>
    <x v="37"/>
    <n v="0.55000000000000004"/>
    <x v="34"/>
    <x v="32"/>
    <n v="13.200000000000001"/>
  </r>
  <r>
    <x v="38"/>
    <s v="22423"/>
    <x v="116"/>
    <n v="16"/>
    <x v="38"/>
    <n v="10.95"/>
    <x v="35"/>
    <x v="33"/>
    <n v="175.2"/>
  </r>
  <r>
    <x v="38"/>
    <s v="22699"/>
    <x v="90"/>
    <n v="24"/>
    <x v="38"/>
    <n v="2.5499999999999998"/>
    <x v="35"/>
    <x v="33"/>
    <n v="61.199999999999996"/>
  </r>
  <r>
    <x v="39"/>
    <s v="22722"/>
    <x v="117"/>
    <n v="7"/>
    <x v="39"/>
    <n v="3.95"/>
    <x v="36"/>
    <x v="34"/>
    <n v="27.650000000000002"/>
  </r>
  <r>
    <x v="39"/>
    <s v="22979"/>
    <x v="118"/>
    <n v="2"/>
    <x v="39"/>
    <n v="1.45"/>
    <x v="36"/>
    <x v="34"/>
    <n v="2.9"/>
  </r>
  <r>
    <x v="39"/>
    <s v="84987"/>
    <x v="119"/>
    <n v="3"/>
    <x v="39"/>
    <n v="1.45"/>
    <x v="36"/>
    <x v="34"/>
    <n v="4.3499999999999996"/>
  </r>
  <r>
    <x v="39"/>
    <s v="22720"/>
    <x v="120"/>
    <n v="1"/>
    <x v="39"/>
    <n v="4.95"/>
    <x v="36"/>
    <x v="34"/>
    <n v="4.95"/>
  </r>
  <r>
    <x v="40"/>
    <s v="22839"/>
    <x v="121"/>
    <n v="1"/>
    <x v="40"/>
    <n v="14.95"/>
    <x v="37"/>
    <x v="35"/>
    <n v="14.95"/>
  </r>
  <r>
    <x v="40"/>
    <s v="22840"/>
    <x v="122"/>
    <n v="2"/>
    <x v="40"/>
    <n v="7.95"/>
    <x v="37"/>
    <x v="35"/>
    <n v="15.9"/>
  </r>
  <r>
    <x v="40"/>
    <s v="22841"/>
    <x v="123"/>
    <n v="2"/>
    <x v="40"/>
    <n v="7.95"/>
    <x v="37"/>
    <x v="35"/>
    <n v="15.9"/>
  </r>
  <r>
    <x v="40"/>
    <s v="22457"/>
    <x v="124"/>
    <n v="6"/>
    <x v="40"/>
    <n v="2.95"/>
    <x v="37"/>
    <x v="35"/>
    <n v="17.700000000000003"/>
  </r>
  <r>
    <x v="41"/>
    <s v="22693"/>
    <x v="125"/>
    <n v="24"/>
    <x v="41"/>
    <n v="1.25"/>
    <x v="24"/>
    <x v="22"/>
    <n v="30"/>
  </r>
  <r>
    <x v="42"/>
    <s v="22784"/>
    <x v="126"/>
    <n v="3"/>
    <x v="42"/>
    <n v="4.95"/>
    <x v="38"/>
    <x v="36"/>
    <n v="14.850000000000001"/>
  </r>
  <r>
    <x v="42"/>
    <s v="85123A"/>
    <x v="0"/>
    <n v="6"/>
    <x v="42"/>
    <n v="2.95"/>
    <x v="38"/>
    <x v="36"/>
    <n v="17.700000000000003"/>
  </r>
  <r>
    <x v="42"/>
    <s v="21733"/>
    <x v="42"/>
    <n v="6"/>
    <x v="42"/>
    <n v="2.95"/>
    <x v="38"/>
    <x v="36"/>
    <n v="17.700000000000003"/>
  </r>
  <r>
    <x v="42"/>
    <s v="21126"/>
    <x v="127"/>
    <n v="12"/>
    <x v="42"/>
    <n v="1.25"/>
    <x v="38"/>
    <x v="36"/>
    <n v="15"/>
  </r>
  <r>
    <x v="43"/>
    <s v="21238"/>
    <x v="128"/>
    <n v="8"/>
    <x v="43"/>
    <n v="0.85"/>
    <x v="39"/>
    <x v="37"/>
    <n v="6.8"/>
  </r>
  <r>
    <x v="43"/>
    <s v="21243"/>
    <x v="129"/>
    <n v="8"/>
    <x v="43"/>
    <n v="1.69"/>
    <x v="39"/>
    <x v="37"/>
    <n v="13.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13FEFC-72D6-4A22-A7DE-4D3765DA1ED9}" name="Country-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untry">
  <location ref="N15:O54" firstHeaderRow="1" firstDataRow="1" firstDataCol="1"/>
  <pivotFields count="12">
    <pivotField showAll="0"/>
    <pivotField showAll="0"/>
    <pivotField showAll="0"/>
    <pivotField showAll="0"/>
    <pivotField numFmtId="22"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umFmtId="44" showAll="0"/>
    <pivotField showAll="0"/>
    <pivotField axis="axisRow" showAll="0">
      <items count="39">
        <item x="2"/>
        <item x="21"/>
        <item x="22"/>
        <item x="12"/>
        <item x="33"/>
        <item x="31"/>
        <item x="16"/>
        <item x="18"/>
        <item x="30"/>
        <item x="17"/>
        <item x="6"/>
        <item x="35"/>
        <item x="20"/>
        <item x="1"/>
        <item x="4"/>
        <item x="23"/>
        <item x="24"/>
        <item x="15"/>
        <item x="28"/>
        <item x="11"/>
        <item x="14"/>
        <item x="26"/>
        <item x="13"/>
        <item x="36"/>
        <item x="3"/>
        <item x="5"/>
        <item x="9"/>
        <item x="10"/>
        <item x="37"/>
        <item x="29"/>
        <item x="25"/>
        <item x="8"/>
        <item x="19"/>
        <item x="7"/>
        <item x="27"/>
        <item x="0"/>
        <item x="32"/>
        <item x="34"/>
        <item t="default"/>
      </items>
    </pivotField>
    <pivotField dataField="1" numFmtId="4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7"/>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Sum of Revenue" fld="8" baseField="0" baseItem="0" numFmtId="44"/>
  </dataFields>
  <chartFormats count="39">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2" format="5">
      <pivotArea type="data" outline="0" fieldPosition="0">
        <references count="2">
          <reference field="4294967294" count="1" selected="0">
            <x v="0"/>
          </reference>
          <reference field="7" count="1" selected="0">
            <x v="3"/>
          </reference>
        </references>
      </pivotArea>
    </chartFormat>
    <chartFormat chart="2" format="6">
      <pivotArea type="data" outline="0" fieldPosition="0">
        <references count="2">
          <reference field="4294967294" count="1" selected="0">
            <x v="0"/>
          </reference>
          <reference field="7" count="1" selected="0">
            <x v="4"/>
          </reference>
        </references>
      </pivotArea>
    </chartFormat>
    <chartFormat chart="2" format="7">
      <pivotArea type="data" outline="0" fieldPosition="0">
        <references count="2">
          <reference field="4294967294" count="1" selected="0">
            <x v="0"/>
          </reference>
          <reference field="7" count="1" selected="0">
            <x v="5"/>
          </reference>
        </references>
      </pivotArea>
    </chartFormat>
    <chartFormat chart="2" format="8">
      <pivotArea type="data" outline="0" fieldPosition="0">
        <references count="2">
          <reference field="4294967294" count="1" selected="0">
            <x v="0"/>
          </reference>
          <reference field="7" count="1" selected="0">
            <x v="6"/>
          </reference>
        </references>
      </pivotArea>
    </chartFormat>
    <chartFormat chart="2" format="9">
      <pivotArea type="data" outline="0" fieldPosition="0">
        <references count="2">
          <reference field="4294967294" count="1" selected="0">
            <x v="0"/>
          </reference>
          <reference field="7" count="1" selected="0">
            <x v="7"/>
          </reference>
        </references>
      </pivotArea>
    </chartFormat>
    <chartFormat chart="2" format="10">
      <pivotArea type="data" outline="0" fieldPosition="0">
        <references count="2">
          <reference field="4294967294" count="1" selected="0">
            <x v="0"/>
          </reference>
          <reference field="7" count="1" selected="0">
            <x v="8"/>
          </reference>
        </references>
      </pivotArea>
    </chartFormat>
    <chartFormat chart="2" format="11">
      <pivotArea type="data" outline="0" fieldPosition="0">
        <references count="2">
          <reference field="4294967294" count="1" selected="0">
            <x v="0"/>
          </reference>
          <reference field="7" count="1" selected="0">
            <x v="9"/>
          </reference>
        </references>
      </pivotArea>
    </chartFormat>
    <chartFormat chart="2" format="12">
      <pivotArea type="data" outline="0" fieldPosition="0">
        <references count="2">
          <reference field="4294967294" count="1" selected="0">
            <x v="0"/>
          </reference>
          <reference field="7" count="1" selected="0">
            <x v="10"/>
          </reference>
        </references>
      </pivotArea>
    </chartFormat>
    <chartFormat chart="2" format="13">
      <pivotArea type="data" outline="0" fieldPosition="0">
        <references count="2">
          <reference field="4294967294" count="1" selected="0">
            <x v="0"/>
          </reference>
          <reference field="7" count="1" selected="0">
            <x v="11"/>
          </reference>
        </references>
      </pivotArea>
    </chartFormat>
    <chartFormat chart="2" format="14">
      <pivotArea type="data" outline="0" fieldPosition="0">
        <references count="2">
          <reference field="4294967294" count="1" selected="0">
            <x v="0"/>
          </reference>
          <reference field="7" count="1" selected="0">
            <x v="12"/>
          </reference>
        </references>
      </pivotArea>
    </chartFormat>
    <chartFormat chart="2" format="15">
      <pivotArea type="data" outline="0" fieldPosition="0">
        <references count="2">
          <reference field="4294967294" count="1" selected="0">
            <x v="0"/>
          </reference>
          <reference field="7" count="1" selected="0">
            <x v="13"/>
          </reference>
        </references>
      </pivotArea>
    </chartFormat>
    <chartFormat chart="2" format="16">
      <pivotArea type="data" outline="0" fieldPosition="0">
        <references count="2">
          <reference field="4294967294" count="1" selected="0">
            <x v="0"/>
          </reference>
          <reference field="7" count="1" selected="0">
            <x v="14"/>
          </reference>
        </references>
      </pivotArea>
    </chartFormat>
    <chartFormat chart="2" format="17">
      <pivotArea type="data" outline="0" fieldPosition="0">
        <references count="2">
          <reference field="4294967294" count="1" selected="0">
            <x v="0"/>
          </reference>
          <reference field="7" count="1" selected="0">
            <x v="15"/>
          </reference>
        </references>
      </pivotArea>
    </chartFormat>
    <chartFormat chart="2" format="18">
      <pivotArea type="data" outline="0" fieldPosition="0">
        <references count="2">
          <reference field="4294967294" count="1" selected="0">
            <x v="0"/>
          </reference>
          <reference field="7" count="1" selected="0">
            <x v="16"/>
          </reference>
        </references>
      </pivotArea>
    </chartFormat>
    <chartFormat chart="2" format="19">
      <pivotArea type="data" outline="0" fieldPosition="0">
        <references count="2">
          <reference field="4294967294" count="1" selected="0">
            <x v="0"/>
          </reference>
          <reference field="7" count="1" selected="0">
            <x v="17"/>
          </reference>
        </references>
      </pivotArea>
    </chartFormat>
    <chartFormat chart="2" format="20">
      <pivotArea type="data" outline="0" fieldPosition="0">
        <references count="2">
          <reference field="4294967294" count="1" selected="0">
            <x v="0"/>
          </reference>
          <reference field="7" count="1" selected="0">
            <x v="18"/>
          </reference>
        </references>
      </pivotArea>
    </chartFormat>
    <chartFormat chart="2" format="21">
      <pivotArea type="data" outline="0" fieldPosition="0">
        <references count="2">
          <reference field="4294967294" count="1" selected="0">
            <x v="0"/>
          </reference>
          <reference field="7" count="1" selected="0">
            <x v="19"/>
          </reference>
        </references>
      </pivotArea>
    </chartFormat>
    <chartFormat chart="2" format="22">
      <pivotArea type="data" outline="0" fieldPosition="0">
        <references count="2">
          <reference field="4294967294" count="1" selected="0">
            <x v="0"/>
          </reference>
          <reference field="7" count="1" selected="0">
            <x v="20"/>
          </reference>
        </references>
      </pivotArea>
    </chartFormat>
    <chartFormat chart="2" format="23">
      <pivotArea type="data" outline="0" fieldPosition="0">
        <references count="2">
          <reference field="4294967294" count="1" selected="0">
            <x v="0"/>
          </reference>
          <reference field="7" count="1" selected="0">
            <x v="21"/>
          </reference>
        </references>
      </pivotArea>
    </chartFormat>
    <chartFormat chart="2" format="24">
      <pivotArea type="data" outline="0" fieldPosition="0">
        <references count="2">
          <reference field="4294967294" count="1" selected="0">
            <x v="0"/>
          </reference>
          <reference field="7" count="1" selected="0">
            <x v="22"/>
          </reference>
        </references>
      </pivotArea>
    </chartFormat>
    <chartFormat chart="2" format="25">
      <pivotArea type="data" outline="0" fieldPosition="0">
        <references count="2">
          <reference field="4294967294" count="1" selected="0">
            <x v="0"/>
          </reference>
          <reference field="7" count="1" selected="0">
            <x v="23"/>
          </reference>
        </references>
      </pivotArea>
    </chartFormat>
    <chartFormat chart="2" format="26">
      <pivotArea type="data" outline="0" fieldPosition="0">
        <references count="2">
          <reference field="4294967294" count="1" selected="0">
            <x v="0"/>
          </reference>
          <reference field="7" count="1" selected="0">
            <x v="24"/>
          </reference>
        </references>
      </pivotArea>
    </chartFormat>
    <chartFormat chart="2" format="27">
      <pivotArea type="data" outline="0" fieldPosition="0">
        <references count="2">
          <reference field="4294967294" count="1" selected="0">
            <x v="0"/>
          </reference>
          <reference field="7" count="1" selected="0">
            <x v="25"/>
          </reference>
        </references>
      </pivotArea>
    </chartFormat>
    <chartFormat chart="2" format="28">
      <pivotArea type="data" outline="0" fieldPosition="0">
        <references count="2">
          <reference field="4294967294" count="1" selected="0">
            <x v="0"/>
          </reference>
          <reference field="7" count="1" selected="0">
            <x v="26"/>
          </reference>
        </references>
      </pivotArea>
    </chartFormat>
    <chartFormat chart="2" format="29">
      <pivotArea type="data" outline="0" fieldPosition="0">
        <references count="2">
          <reference field="4294967294" count="1" selected="0">
            <x v="0"/>
          </reference>
          <reference field="7" count="1" selected="0">
            <x v="27"/>
          </reference>
        </references>
      </pivotArea>
    </chartFormat>
    <chartFormat chart="2" format="30">
      <pivotArea type="data" outline="0" fieldPosition="0">
        <references count="2">
          <reference field="4294967294" count="1" selected="0">
            <x v="0"/>
          </reference>
          <reference field="7" count="1" selected="0">
            <x v="28"/>
          </reference>
        </references>
      </pivotArea>
    </chartFormat>
    <chartFormat chart="2" format="31">
      <pivotArea type="data" outline="0" fieldPosition="0">
        <references count="2">
          <reference field="4294967294" count="1" selected="0">
            <x v="0"/>
          </reference>
          <reference field="7" count="1" selected="0">
            <x v="29"/>
          </reference>
        </references>
      </pivotArea>
    </chartFormat>
    <chartFormat chart="2" format="32">
      <pivotArea type="data" outline="0" fieldPosition="0">
        <references count="2">
          <reference field="4294967294" count="1" selected="0">
            <x v="0"/>
          </reference>
          <reference field="7" count="1" selected="0">
            <x v="30"/>
          </reference>
        </references>
      </pivotArea>
    </chartFormat>
    <chartFormat chart="2" format="33">
      <pivotArea type="data" outline="0" fieldPosition="0">
        <references count="2">
          <reference field="4294967294" count="1" selected="0">
            <x v="0"/>
          </reference>
          <reference field="7" count="1" selected="0">
            <x v="31"/>
          </reference>
        </references>
      </pivotArea>
    </chartFormat>
    <chartFormat chart="2" format="34">
      <pivotArea type="data" outline="0" fieldPosition="0">
        <references count="2">
          <reference field="4294967294" count="1" selected="0">
            <x v="0"/>
          </reference>
          <reference field="7" count="1" selected="0">
            <x v="32"/>
          </reference>
        </references>
      </pivotArea>
    </chartFormat>
    <chartFormat chart="2" format="35">
      <pivotArea type="data" outline="0" fieldPosition="0">
        <references count="2">
          <reference field="4294967294" count="1" selected="0">
            <x v="0"/>
          </reference>
          <reference field="7" count="1" selected="0">
            <x v="33"/>
          </reference>
        </references>
      </pivotArea>
    </chartFormat>
    <chartFormat chart="2" format="36">
      <pivotArea type="data" outline="0" fieldPosition="0">
        <references count="2">
          <reference field="4294967294" count="1" selected="0">
            <x v="0"/>
          </reference>
          <reference field="7" count="1" selected="0">
            <x v="34"/>
          </reference>
        </references>
      </pivotArea>
    </chartFormat>
    <chartFormat chart="2" format="37">
      <pivotArea type="data" outline="0" fieldPosition="0">
        <references count="2">
          <reference field="4294967294" count="1" selected="0">
            <x v="0"/>
          </reference>
          <reference field="7" count="1" selected="0">
            <x v="35"/>
          </reference>
        </references>
      </pivotArea>
    </chartFormat>
    <chartFormat chart="2" format="38">
      <pivotArea type="data" outline="0" fieldPosition="0">
        <references count="2">
          <reference field="4294967294" count="1" selected="0">
            <x v="0"/>
          </reference>
          <reference field="7" count="1" selected="0">
            <x v="36"/>
          </reference>
        </references>
      </pivotArea>
    </chartFormat>
    <chartFormat chart="2" format="39">
      <pivotArea type="data" outline="0" fieldPosition="0">
        <references count="2">
          <reference field="4294967294" count="1" selected="0">
            <x v="0"/>
          </reference>
          <reference field="7" count="1" selected="0">
            <x v="3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D2FE5C-7E73-4EB0-B5B0-0F8B495FAF43}" name="Monthly-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N2:O11" firstHeaderRow="1" firstDataRow="1" firstDataCol="1"/>
  <pivotFields count="12">
    <pivotField showAll="0"/>
    <pivotField showAll="0"/>
    <pivotField showAll="0"/>
    <pivotField showAll="0"/>
    <pivotField numFmtId="22"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umFmtId="44" showAll="0"/>
    <pivotField showAll="0"/>
    <pivotField showAll="0">
      <items count="39">
        <item x="2"/>
        <item x="21"/>
        <item x="22"/>
        <item x="12"/>
        <item x="33"/>
        <item x="31"/>
        <item x="16"/>
        <item x="18"/>
        <item x="30"/>
        <item x="17"/>
        <item x="6"/>
        <item x="35"/>
        <item x="20"/>
        <item x="1"/>
        <item x="4"/>
        <item x="23"/>
        <item x="24"/>
        <item x="15"/>
        <item x="28"/>
        <item x="11"/>
        <item x="14"/>
        <item x="26"/>
        <item x="13"/>
        <item x="36"/>
        <item x="3"/>
        <item x="5"/>
        <item x="9"/>
        <item x="10"/>
        <item x="37"/>
        <item x="29"/>
        <item x="25"/>
        <item x="8"/>
        <item x="19"/>
        <item x="7"/>
        <item x="27"/>
        <item x="0"/>
        <item x="32"/>
        <item x="34"/>
        <item t="default"/>
      </items>
    </pivotField>
    <pivotField dataField="1" numFmtId="4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9"/>
  </rowFields>
  <rowItems count="9">
    <i>
      <x v="1"/>
    </i>
    <i>
      <x v="2"/>
    </i>
    <i>
      <x v="3"/>
    </i>
    <i>
      <x v="4"/>
    </i>
    <i>
      <x v="5"/>
    </i>
    <i>
      <x v="6"/>
    </i>
    <i>
      <x v="10"/>
    </i>
    <i>
      <x v="12"/>
    </i>
    <i t="grand">
      <x/>
    </i>
  </rowItems>
  <colItems count="1">
    <i/>
  </colItems>
  <dataFields count="1">
    <dataField name="Sum of Revenue" fld="8" baseField="0" baseItem="0" numFmtId="4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C39A79-268B-4198-8ECA-8C24BB672B53}" name="TimePeriod-Country-Analysi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Product">
  <location ref="E4:G156" firstHeaderRow="0" firstDataRow="1" firstDataCol="1" rowPageCount="1" colPageCount="1"/>
  <pivotFields count="12">
    <pivotField showAll="0"/>
    <pivotField showAll="0"/>
    <pivotField axis="axisRow" showAll="0">
      <items count="131">
        <item x="65"/>
        <item x="105"/>
        <item x="121"/>
        <item x="93"/>
        <item x="18"/>
        <item x="51"/>
        <item x="79"/>
        <item x="80"/>
        <item x="78"/>
        <item x="63"/>
        <item x="27"/>
        <item x="6"/>
        <item x="4"/>
        <item x="5"/>
        <item x="106"/>
        <item x="113"/>
        <item x="107"/>
        <item x="98"/>
        <item x="62"/>
        <item x="23"/>
        <item x="49"/>
        <item x="34"/>
        <item x="19"/>
        <item x="110"/>
        <item x="71"/>
        <item x="61"/>
        <item x="82"/>
        <item x="95"/>
        <item x="94"/>
        <item x="24"/>
        <item x="25"/>
        <item x="21"/>
        <item x="8"/>
        <item x="108"/>
        <item x="64"/>
        <item x="2"/>
        <item x="69"/>
        <item x="66"/>
        <item x="115"/>
        <item x="68"/>
        <item x="74"/>
        <item x="101"/>
        <item x="67"/>
        <item x="114"/>
        <item x="58"/>
        <item x="60"/>
        <item x="29"/>
        <item x="30"/>
        <item x="32"/>
        <item x="96"/>
        <item x="91"/>
        <item x="35"/>
        <item x="125"/>
        <item x="20"/>
        <item x="13"/>
        <item x="104"/>
        <item x="83"/>
        <item x="28"/>
        <item x="3"/>
        <item x="102"/>
        <item x="126"/>
        <item x="97"/>
        <item x="26"/>
        <item x="41"/>
        <item x="46"/>
        <item x="40"/>
        <item x="39"/>
        <item x="44"/>
        <item x="56"/>
        <item x="17"/>
        <item x="124"/>
        <item x="99"/>
        <item x="89"/>
        <item x="85"/>
        <item x="88"/>
        <item x="87"/>
        <item x="55"/>
        <item x="54"/>
        <item x="81"/>
        <item x="7"/>
        <item x="118"/>
        <item x="129"/>
        <item x="31"/>
        <item x="37"/>
        <item x="14"/>
        <item x="57"/>
        <item x="42"/>
        <item x="128"/>
        <item x="53"/>
        <item x="38"/>
        <item x="116"/>
        <item x="100"/>
        <item x="22"/>
        <item x="90"/>
        <item x="16"/>
        <item x="123"/>
        <item x="122"/>
        <item x="36"/>
        <item x="48"/>
        <item x="92"/>
        <item x="52"/>
        <item x="77"/>
        <item x="120"/>
        <item x="11"/>
        <item x="12"/>
        <item x="119"/>
        <item x="127"/>
        <item x="117"/>
        <item x="15"/>
        <item x="59"/>
        <item x="84"/>
        <item x="50"/>
        <item x="112"/>
        <item x="75"/>
        <item x="76"/>
        <item x="43"/>
        <item x="47"/>
        <item x="109"/>
        <item x="111"/>
        <item x="10"/>
        <item x="45"/>
        <item x="33"/>
        <item x="9"/>
        <item x="103"/>
        <item x="0"/>
        <item x="1"/>
        <item x="72"/>
        <item x="73"/>
        <item x="86"/>
        <item x="70"/>
        <item t="default"/>
      </items>
    </pivotField>
    <pivotField dataField="1" showAll="0"/>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pivotField showAll="0"/>
    <pivotField axis="axisPage" multipleItemSelectionAllowed="1" showAll="0">
      <items count="39">
        <item x="2"/>
        <item x="21"/>
        <item x="22"/>
        <item x="12"/>
        <item x="33"/>
        <item x="31"/>
        <item x="16"/>
        <item x="18"/>
        <item x="30"/>
        <item x="17"/>
        <item x="6"/>
        <item x="35"/>
        <item x="20"/>
        <item x="1"/>
        <item x="4"/>
        <item x="23"/>
        <item x="24"/>
        <item x="15"/>
        <item x="28"/>
        <item x="11"/>
        <item x="14"/>
        <item x="26"/>
        <item x="13"/>
        <item x="36"/>
        <item x="3"/>
        <item x="5"/>
        <item x="9"/>
        <item x="10"/>
        <item x="37"/>
        <item x="29"/>
        <item x="25"/>
        <item x="8"/>
        <item x="19"/>
        <item x="7"/>
        <item x="27"/>
        <item x="0"/>
        <item x="32"/>
        <item x="34"/>
        <item t="default"/>
      </items>
    </pivotField>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4">
    <field x="11"/>
    <field x="10"/>
    <field x="9"/>
    <field x="2"/>
  </rowFields>
  <rowItems count="152">
    <i>
      <x v="1"/>
    </i>
    <i r="1">
      <x v="4"/>
    </i>
    <i r="2">
      <x v="12"/>
    </i>
    <i r="3">
      <x/>
    </i>
    <i r="3">
      <x v="4"/>
    </i>
    <i r="3">
      <x v="5"/>
    </i>
    <i r="3">
      <x v="6"/>
    </i>
    <i r="3">
      <x v="7"/>
    </i>
    <i r="3">
      <x v="8"/>
    </i>
    <i r="3">
      <x v="9"/>
    </i>
    <i r="3">
      <x v="10"/>
    </i>
    <i r="3">
      <x v="11"/>
    </i>
    <i r="3">
      <x v="12"/>
    </i>
    <i r="3">
      <x v="13"/>
    </i>
    <i r="3">
      <x v="18"/>
    </i>
    <i r="3">
      <x v="19"/>
    </i>
    <i r="3">
      <x v="20"/>
    </i>
    <i r="3">
      <x v="21"/>
    </i>
    <i r="3">
      <x v="22"/>
    </i>
    <i r="3">
      <x v="24"/>
    </i>
    <i r="3">
      <x v="25"/>
    </i>
    <i r="3">
      <x v="26"/>
    </i>
    <i r="3">
      <x v="29"/>
    </i>
    <i r="3">
      <x v="30"/>
    </i>
    <i r="3">
      <x v="31"/>
    </i>
    <i r="3">
      <x v="32"/>
    </i>
    <i r="3">
      <x v="34"/>
    </i>
    <i r="3">
      <x v="35"/>
    </i>
    <i r="3">
      <x v="36"/>
    </i>
    <i r="3">
      <x v="37"/>
    </i>
    <i r="3">
      <x v="39"/>
    </i>
    <i r="3">
      <x v="40"/>
    </i>
    <i r="3">
      <x v="42"/>
    </i>
    <i r="3">
      <x v="44"/>
    </i>
    <i r="3">
      <x v="45"/>
    </i>
    <i r="3">
      <x v="46"/>
    </i>
    <i r="3">
      <x v="47"/>
    </i>
    <i r="3">
      <x v="48"/>
    </i>
    <i r="3">
      <x v="51"/>
    </i>
    <i r="3">
      <x v="53"/>
    </i>
    <i r="3">
      <x v="54"/>
    </i>
    <i r="3">
      <x v="56"/>
    </i>
    <i r="3">
      <x v="57"/>
    </i>
    <i r="3">
      <x v="58"/>
    </i>
    <i r="3">
      <x v="62"/>
    </i>
    <i r="3">
      <x v="63"/>
    </i>
    <i r="3">
      <x v="64"/>
    </i>
    <i r="3">
      <x v="65"/>
    </i>
    <i r="3">
      <x v="66"/>
    </i>
    <i r="3">
      <x v="67"/>
    </i>
    <i r="3">
      <x v="68"/>
    </i>
    <i r="3">
      <x v="69"/>
    </i>
    <i r="3">
      <x v="72"/>
    </i>
    <i r="3">
      <x v="73"/>
    </i>
    <i r="3">
      <x v="74"/>
    </i>
    <i r="3">
      <x v="75"/>
    </i>
    <i r="3">
      <x v="76"/>
    </i>
    <i r="3">
      <x v="77"/>
    </i>
    <i r="3">
      <x v="78"/>
    </i>
    <i r="3">
      <x v="79"/>
    </i>
    <i r="3">
      <x v="82"/>
    </i>
    <i r="3">
      <x v="83"/>
    </i>
    <i r="3">
      <x v="84"/>
    </i>
    <i r="3">
      <x v="85"/>
    </i>
    <i r="3">
      <x v="86"/>
    </i>
    <i r="3">
      <x v="88"/>
    </i>
    <i r="3">
      <x v="89"/>
    </i>
    <i r="3">
      <x v="92"/>
    </i>
    <i r="3">
      <x v="94"/>
    </i>
    <i r="3">
      <x v="97"/>
    </i>
    <i r="3">
      <x v="98"/>
    </i>
    <i r="3">
      <x v="100"/>
    </i>
    <i r="3">
      <x v="101"/>
    </i>
    <i r="3">
      <x v="103"/>
    </i>
    <i r="3">
      <x v="104"/>
    </i>
    <i r="3">
      <x v="108"/>
    </i>
    <i r="3">
      <x v="109"/>
    </i>
    <i r="3">
      <x v="110"/>
    </i>
    <i r="3">
      <x v="111"/>
    </i>
    <i r="3">
      <x v="113"/>
    </i>
    <i r="3">
      <x v="114"/>
    </i>
    <i r="3">
      <x v="115"/>
    </i>
    <i r="3">
      <x v="116"/>
    </i>
    <i r="3">
      <x v="119"/>
    </i>
    <i r="3">
      <x v="120"/>
    </i>
    <i r="3">
      <x v="121"/>
    </i>
    <i r="3">
      <x v="122"/>
    </i>
    <i r="3">
      <x v="124"/>
    </i>
    <i r="3">
      <x v="125"/>
    </i>
    <i r="3">
      <x v="126"/>
    </i>
    <i r="3">
      <x v="127"/>
    </i>
    <i r="3">
      <x v="128"/>
    </i>
    <i r="3">
      <x v="129"/>
    </i>
    <i>
      <x v="2"/>
    </i>
    <i r="1">
      <x v="1"/>
    </i>
    <i r="2">
      <x v="1"/>
    </i>
    <i r="3">
      <x v="3"/>
    </i>
    <i r="3">
      <x v="17"/>
    </i>
    <i r="3">
      <x v="27"/>
    </i>
    <i r="3">
      <x v="28"/>
    </i>
    <i r="3">
      <x v="49"/>
    </i>
    <i r="3">
      <x v="50"/>
    </i>
    <i r="3">
      <x v="61"/>
    </i>
    <i r="3">
      <x v="71"/>
    </i>
    <i r="3">
      <x v="93"/>
    </i>
    <i r="3">
      <x v="99"/>
    </i>
    <i r="2">
      <x v="2"/>
    </i>
    <i r="3">
      <x v="1"/>
    </i>
    <i r="3">
      <x v="14"/>
    </i>
    <i r="3">
      <x v="16"/>
    </i>
    <i r="3">
      <x v="33"/>
    </i>
    <i r="3">
      <x v="41"/>
    </i>
    <i r="3">
      <x v="55"/>
    </i>
    <i r="3">
      <x v="59"/>
    </i>
    <i r="3">
      <x v="61"/>
    </i>
    <i r="3">
      <x v="91"/>
    </i>
    <i r="3">
      <x v="117"/>
    </i>
    <i r="3">
      <x v="123"/>
    </i>
    <i r="2">
      <x v="3"/>
    </i>
    <i r="3">
      <x v="15"/>
    </i>
    <i r="3">
      <x v="23"/>
    </i>
    <i r="3">
      <x v="112"/>
    </i>
    <i r="3">
      <x v="118"/>
    </i>
    <i r="1">
      <x v="2"/>
    </i>
    <i r="2">
      <x v="4"/>
    </i>
    <i r="3">
      <x v="2"/>
    </i>
    <i r="3">
      <x v="38"/>
    </i>
    <i r="3">
      <x v="39"/>
    </i>
    <i r="3">
      <x v="43"/>
    </i>
    <i r="3">
      <x v="70"/>
    </i>
    <i r="3">
      <x v="76"/>
    </i>
    <i r="3">
      <x v="78"/>
    </i>
    <i r="3">
      <x v="80"/>
    </i>
    <i r="3">
      <x v="90"/>
    </i>
    <i r="3">
      <x v="93"/>
    </i>
    <i r="3">
      <x v="95"/>
    </i>
    <i r="3">
      <x v="96"/>
    </i>
    <i r="3">
      <x v="102"/>
    </i>
    <i r="3">
      <x v="105"/>
    </i>
    <i r="3">
      <x v="107"/>
    </i>
    <i r="2">
      <x v="5"/>
    </i>
    <i r="3">
      <x v="52"/>
    </i>
    <i r="2">
      <x v="6"/>
    </i>
    <i r="3">
      <x v="60"/>
    </i>
    <i r="3">
      <x v="86"/>
    </i>
    <i r="3">
      <x v="106"/>
    </i>
    <i r="3">
      <x v="124"/>
    </i>
    <i r="1">
      <x v="4"/>
    </i>
    <i r="2">
      <x v="10"/>
    </i>
    <i r="3">
      <x v="81"/>
    </i>
    <i r="3">
      <x v="87"/>
    </i>
    <i t="grand">
      <x/>
    </i>
  </rowItems>
  <colFields count="1">
    <field x="-2"/>
  </colFields>
  <colItems count="2">
    <i>
      <x/>
    </i>
    <i i="1">
      <x v="1"/>
    </i>
  </colItems>
  <pageFields count="1">
    <pageField fld="7" hier="-1"/>
  </pageFields>
  <dataFields count="2">
    <dataField name="Sum of Revenue" fld="8" baseField="0" baseItem="0" numFmtId="164"/>
    <dataField name="Sum of Quantity" fld="3" baseField="0" baseItem="0"/>
  </dataFields>
  <formats count="11">
    <format dxfId="32">
      <pivotArea field="7" type="button" dataOnly="0" labelOnly="1" outline="0" axis="axisPage" fieldPosition="0"/>
    </format>
    <format dxfId="31">
      <pivotArea field="2" type="button" dataOnly="0" labelOnly="1" outline="0" axis="axisRow" fieldPosition="3"/>
    </format>
    <format dxfId="30">
      <pivotArea dataOnly="0" labelOnly="1" fieldPosition="0">
        <references count="1">
          <reference field="2" count="5">
            <x v="36"/>
            <x v="37"/>
            <x v="39"/>
            <x v="42"/>
            <x v="129"/>
          </reference>
        </references>
      </pivotArea>
    </format>
    <format dxfId="29">
      <pivotArea dataOnly="0" labelOnly="1" grandRow="1" outline="0" fieldPosition="0"/>
    </format>
    <format dxfId="28">
      <pivotArea dataOnly="0" labelOnly="1" fieldPosition="0">
        <references count="2">
          <reference field="2" count="1" selected="0">
            <x v="36"/>
          </reference>
          <reference field="11" count="1">
            <x v="1"/>
          </reference>
        </references>
      </pivotArea>
    </format>
    <format dxfId="27">
      <pivotArea dataOnly="0" labelOnly="1" fieldPosition="0">
        <references count="2">
          <reference field="2" count="1" selected="0">
            <x v="37"/>
          </reference>
          <reference field="11" count="1">
            <x v="1"/>
          </reference>
        </references>
      </pivotArea>
    </format>
    <format dxfId="26">
      <pivotArea dataOnly="0" labelOnly="1" fieldPosition="0">
        <references count="2">
          <reference field="2" count="1" selected="0">
            <x v="39"/>
          </reference>
          <reference field="11" count="1">
            <x v="1"/>
          </reference>
        </references>
      </pivotArea>
    </format>
    <format dxfId="25">
      <pivotArea dataOnly="0" labelOnly="1" fieldPosition="0">
        <references count="2">
          <reference field="2" count="1" selected="0">
            <x v="42"/>
          </reference>
          <reference field="11" count="1">
            <x v="1"/>
          </reference>
        </references>
      </pivotArea>
    </format>
    <format dxfId="24">
      <pivotArea dataOnly="0" labelOnly="1" fieldPosition="0">
        <references count="2">
          <reference field="2" count="1" selected="0">
            <x v="129"/>
          </reference>
          <reference field="11" count="1">
            <x v="1"/>
          </reference>
        </references>
      </pivotArea>
    </format>
    <format dxfId="23">
      <pivotArea outline="0" fieldPosition="0">
        <references count="1">
          <reference field="4294967294" count="1">
            <x v="1"/>
          </reference>
        </references>
      </pivotArea>
    </format>
    <format dxfId="22">
      <pivotArea outline="0" fieldPosition="0">
        <references count="1">
          <reference field="4294967294" count="1">
            <x v="0"/>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4B0DF8-9A1D-46FF-AE33-C1074734BBEE}" name="Transaction-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I4:K10" firstHeaderRow="0" firstDataRow="1" firstDataCol="1" rowPageCount="1" colPageCount="1"/>
  <pivotFields count="12">
    <pivotField axis="axisPage"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pivotField axis="axisRow" showAll="0">
      <items count="131">
        <item x="65"/>
        <item x="105"/>
        <item x="121"/>
        <item x="93"/>
        <item x="18"/>
        <item x="51"/>
        <item x="79"/>
        <item x="80"/>
        <item x="78"/>
        <item x="63"/>
        <item x="27"/>
        <item x="6"/>
        <item x="4"/>
        <item x="5"/>
        <item x="106"/>
        <item x="113"/>
        <item x="107"/>
        <item x="98"/>
        <item x="62"/>
        <item x="23"/>
        <item x="49"/>
        <item x="34"/>
        <item x="19"/>
        <item x="110"/>
        <item x="71"/>
        <item x="61"/>
        <item x="82"/>
        <item x="95"/>
        <item x="94"/>
        <item x="24"/>
        <item x="25"/>
        <item x="21"/>
        <item x="8"/>
        <item x="108"/>
        <item x="64"/>
        <item x="2"/>
        <item x="69"/>
        <item x="66"/>
        <item x="115"/>
        <item x="68"/>
        <item x="74"/>
        <item x="101"/>
        <item x="67"/>
        <item x="114"/>
        <item x="58"/>
        <item x="60"/>
        <item x="29"/>
        <item x="30"/>
        <item x="32"/>
        <item x="96"/>
        <item x="91"/>
        <item x="35"/>
        <item x="125"/>
        <item x="20"/>
        <item x="13"/>
        <item x="104"/>
        <item x="83"/>
        <item x="28"/>
        <item x="3"/>
        <item x="102"/>
        <item x="126"/>
        <item x="97"/>
        <item x="26"/>
        <item x="41"/>
        <item x="46"/>
        <item x="40"/>
        <item x="39"/>
        <item x="44"/>
        <item x="56"/>
        <item x="17"/>
        <item x="124"/>
        <item x="99"/>
        <item x="89"/>
        <item x="85"/>
        <item x="88"/>
        <item x="87"/>
        <item x="55"/>
        <item x="54"/>
        <item x="81"/>
        <item x="7"/>
        <item x="118"/>
        <item x="129"/>
        <item x="31"/>
        <item x="37"/>
        <item x="14"/>
        <item x="57"/>
        <item x="42"/>
        <item x="128"/>
        <item x="53"/>
        <item x="38"/>
        <item x="116"/>
        <item x="100"/>
        <item x="22"/>
        <item x="90"/>
        <item x="16"/>
        <item x="123"/>
        <item x="122"/>
        <item x="36"/>
        <item x="48"/>
        <item x="92"/>
        <item x="52"/>
        <item x="77"/>
        <item x="120"/>
        <item x="11"/>
        <item x="12"/>
        <item x="119"/>
        <item x="127"/>
        <item x="117"/>
        <item x="15"/>
        <item x="59"/>
        <item x="84"/>
        <item x="50"/>
        <item x="112"/>
        <item x="75"/>
        <item x="76"/>
        <item x="43"/>
        <item x="47"/>
        <item x="109"/>
        <item x="111"/>
        <item x="10"/>
        <item x="45"/>
        <item x="33"/>
        <item x="9"/>
        <item x="103"/>
        <item x="0"/>
        <item x="1"/>
        <item x="72"/>
        <item x="73"/>
        <item x="86"/>
        <item x="70"/>
        <item t="default"/>
      </items>
    </pivotField>
    <pivotField dataField="1" showAll="0"/>
    <pivotField numFmtId="22"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pivotField showAll="0"/>
    <pivotField showAll="0">
      <items count="39">
        <item x="2"/>
        <item x="21"/>
        <item x="22"/>
        <item x="12"/>
        <item x="33"/>
        <item x="31"/>
        <item x="16"/>
        <item x="18"/>
        <item x="30"/>
        <item x="17"/>
        <item x="6"/>
        <item x="35"/>
        <item x="20"/>
        <item x="1"/>
        <item x="4"/>
        <item x="23"/>
        <item x="24"/>
        <item x="15"/>
        <item x="28"/>
        <item x="11"/>
        <item x="14"/>
        <item x="26"/>
        <item x="13"/>
        <item x="36"/>
        <item x="3"/>
        <item x="5"/>
        <item x="9"/>
        <item x="10"/>
        <item x="37"/>
        <item x="29"/>
        <item x="25"/>
        <item x="8"/>
        <item x="19"/>
        <item x="7"/>
        <item x="27"/>
        <item x="0"/>
        <item x="32"/>
        <item x="34"/>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v="32"/>
    </i>
    <i>
      <x v="103"/>
    </i>
    <i>
      <x v="104"/>
    </i>
    <i>
      <x v="119"/>
    </i>
    <i>
      <x v="122"/>
    </i>
    <i t="grand">
      <x/>
    </i>
  </rowItems>
  <colFields count="1">
    <field x="-2"/>
  </colFields>
  <colItems count="2">
    <i>
      <x/>
    </i>
    <i i="1">
      <x v="1"/>
    </i>
  </colItems>
  <pageFields count="1">
    <pageField fld="0" item="2" hier="-1"/>
  </pageFields>
  <dataFields count="2">
    <dataField name="Sum of Revenue" fld="8" baseField="0" baseItem="0" numFmtId="164"/>
    <dataField name="Sum of Quantity" fld="3" baseField="2" baseItem="1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89CD67-893B-4088-977F-79E32D71A59B}" name="Quantity-Revenue-Analysis"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ountry wise CustomerID" colHeaderCaption="Quantity">
  <location ref="A2:C82" firstHeaderRow="0" firstDataRow="1" firstDataCol="1"/>
  <pivotFields count="12">
    <pivotField showAll="0"/>
    <pivotField showAll="0"/>
    <pivotField showAll="0"/>
    <pivotField dataField="1" showAll="0"/>
    <pivotField numFmtId="22"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pivotField axis="axisRow" showAll="0">
      <items count="41">
        <item x="16"/>
        <item x="22"/>
        <item x="24"/>
        <item x="34"/>
        <item x="20"/>
        <item x="26"/>
        <item x="17"/>
        <item x="13"/>
        <item x="19"/>
        <item x="2"/>
        <item x="5"/>
        <item x="39"/>
        <item x="9"/>
        <item x="31"/>
        <item x="1"/>
        <item x="30"/>
        <item x="4"/>
        <item x="12"/>
        <item x="36"/>
        <item x="27"/>
        <item x="15"/>
        <item x="28"/>
        <item x="35"/>
        <item x="10"/>
        <item x="32"/>
        <item x="3"/>
        <item x="11"/>
        <item x="8"/>
        <item x="25"/>
        <item x="23"/>
        <item x="6"/>
        <item x="18"/>
        <item x="37"/>
        <item x="14"/>
        <item x="33"/>
        <item x="7"/>
        <item x="21"/>
        <item x="38"/>
        <item x="29"/>
        <item x="0"/>
        <item t="default"/>
      </items>
    </pivotField>
    <pivotField axis="axisRow" showAll="0">
      <items count="39">
        <item x="2"/>
        <item x="21"/>
        <item x="22"/>
        <item x="12"/>
        <item x="33"/>
        <item x="31"/>
        <item x="16"/>
        <item x="18"/>
        <item x="30"/>
        <item x="17"/>
        <item x="6"/>
        <item x="35"/>
        <item x="20"/>
        <item x="1"/>
        <item x="4"/>
        <item x="23"/>
        <item x="24"/>
        <item x="15"/>
        <item x="28"/>
        <item x="11"/>
        <item x="14"/>
        <item x="26"/>
        <item x="13"/>
        <item x="36"/>
        <item x="3"/>
        <item x="5"/>
        <item x="9"/>
        <item x="10"/>
        <item x="37"/>
        <item x="29"/>
        <item x="25"/>
        <item x="8"/>
        <item x="19"/>
        <item x="7"/>
        <item x="27"/>
        <item x="0"/>
        <item x="32"/>
        <item x="34"/>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7"/>
    <field x="6"/>
  </rowFields>
  <rowItems count="80">
    <i>
      <x/>
    </i>
    <i r="1">
      <x v="6"/>
    </i>
    <i r="1">
      <x v="9"/>
    </i>
    <i>
      <x v="1"/>
    </i>
    <i r="1">
      <x v="4"/>
    </i>
    <i>
      <x v="2"/>
    </i>
    <i r="1">
      <x v="2"/>
    </i>
    <i>
      <x v="3"/>
    </i>
    <i r="1">
      <x v="7"/>
    </i>
    <i>
      <x v="4"/>
    </i>
    <i r="1">
      <x v="22"/>
    </i>
    <i>
      <x v="5"/>
    </i>
    <i r="1">
      <x v="34"/>
    </i>
    <i>
      <x v="6"/>
    </i>
    <i r="1">
      <x v="31"/>
    </i>
    <i>
      <x v="7"/>
    </i>
    <i r="1">
      <x v="4"/>
    </i>
    <i>
      <x v="8"/>
    </i>
    <i r="1">
      <x v="24"/>
    </i>
    <i>
      <x v="9"/>
    </i>
    <i r="1">
      <x v="8"/>
    </i>
    <i>
      <x v="10"/>
    </i>
    <i r="1">
      <x v="30"/>
    </i>
    <i>
      <x v="11"/>
    </i>
    <i r="1">
      <x v="32"/>
    </i>
    <i>
      <x v="12"/>
    </i>
    <i r="1">
      <x v="1"/>
    </i>
    <i>
      <x v="13"/>
    </i>
    <i r="1">
      <x v="14"/>
    </i>
    <i>
      <x v="14"/>
    </i>
    <i r="1">
      <x v="16"/>
    </i>
    <i>
      <x v="15"/>
    </i>
    <i r="1">
      <x v="28"/>
    </i>
    <i>
      <x v="16"/>
    </i>
    <i r="1">
      <x v="5"/>
    </i>
    <i>
      <x v="17"/>
    </i>
    <i r="1">
      <x/>
    </i>
    <i>
      <x v="18"/>
    </i>
    <i r="1">
      <x v="15"/>
    </i>
    <i>
      <x v="19"/>
    </i>
    <i r="1">
      <x v="17"/>
    </i>
    <i>
      <x v="20"/>
    </i>
    <i r="1">
      <x v="20"/>
    </i>
    <i>
      <x v="21"/>
    </i>
    <i r="1">
      <x v="21"/>
    </i>
    <i>
      <x v="22"/>
    </i>
    <i r="1">
      <x v="33"/>
    </i>
    <i>
      <x v="23"/>
    </i>
    <i r="1">
      <x v="37"/>
    </i>
    <i>
      <x v="24"/>
    </i>
    <i r="1">
      <x v="25"/>
    </i>
    <i r="1">
      <x v="29"/>
    </i>
    <i>
      <x v="25"/>
    </i>
    <i r="1">
      <x v="10"/>
    </i>
    <i>
      <x v="26"/>
    </i>
    <i r="1">
      <x v="23"/>
    </i>
    <i>
      <x v="27"/>
    </i>
    <i r="1">
      <x v="26"/>
    </i>
    <i>
      <x v="28"/>
    </i>
    <i r="1">
      <x v="11"/>
    </i>
    <i>
      <x v="29"/>
    </i>
    <i r="1">
      <x v="13"/>
    </i>
    <i>
      <x v="30"/>
    </i>
    <i r="1">
      <x v="19"/>
    </i>
    <i>
      <x v="31"/>
    </i>
    <i r="1">
      <x v="12"/>
    </i>
    <i>
      <x v="32"/>
    </i>
    <i r="1">
      <x v="36"/>
    </i>
    <i>
      <x v="33"/>
    </i>
    <i r="1">
      <x v="27"/>
    </i>
    <i>
      <x v="34"/>
    </i>
    <i r="1">
      <x v="38"/>
    </i>
    <i>
      <x v="35"/>
    </i>
    <i r="1">
      <x v="35"/>
    </i>
    <i r="1">
      <x v="39"/>
    </i>
    <i>
      <x v="36"/>
    </i>
    <i r="1">
      <x v="3"/>
    </i>
    <i>
      <x v="37"/>
    </i>
    <i r="1">
      <x v="18"/>
    </i>
    <i t="grand">
      <x/>
    </i>
  </rowItems>
  <colFields count="1">
    <field x="-2"/>
  </colFields>
  <colItems count="2">
    <i>
      <x/>
    </i>
    <i i="1">
      <x v="1"/>
    </i>
  </colItems>
  <dataFields count="2">
    <dataField name="Sum of Quantity Country wise" fld="3" baseField="0" baseItem="0"/>
    <dataField name="Sum of Revenue"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Date" xr10:uid="{88AC80D9-C731-4252-BC4C-F1E2B6312AC5}" sourceName="Months (InvoiceDate)">
  <pivotTables>
    <pivotTable tabId="1" name="TimePeriod-Country-Analysis"/>
    <pivotTable tabId="1" name="Country-Revenue"/>
    <pivotTable tabId="1" name="Monthly-Revenue"/>
    <pivotTable tabId="1" name="Quantity-Revenue-Analysis"/>
    <pivotTable tabId="1" name="Transaction-Analysis"/>
  </pivotTables>
  <data>
    <tabular pivotCacheId="1701543209">
      <items count="14">
        <i x="1" s="1"/>
        <i x="2" s="1"/>
        <i x="3" s="1"/>
        <i x="4" s="1"/>
        <i x="5" s="1"/>
        <i x="6" s="1"/>
        <i x="10" s="1"/>
        <i x="12" s="1"/>
        <i x="7" s="1" nd="1"/>
        <i x="8" s="1" nd="1"/>
        <i x="9" s="1" nd="1"/>
        <i x="11"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AEBC9FE-EECF-44C4-A383-EB2F927548D2}" sourceName="Country">
  <pivotTables>
    <pivotTable tabId="1" name="TimePeriod-Country-Analysis"/>
    <pivotTable tabId="1" name="Country-Revenue"/>
    <pivotTable tabId="1" name="Monthly-Revenue"/>
    <pivotTable tabId="1" name="Quantity-Revenue-Analysis"/>
    <pivotTable tabId="1" name="Transaction-Analysis"/>
  </pivotTables>
  <data>
    <tabular pivotCacheId="1701543209">
      <items count="38">
        <i x="2" s="1"/>
        <i x="21" s="1"/>
        <i x="22" s="1"/>
        <i x="12" s="1"/>
        <i x="33" s="1"/>
        <i x="31" s="1"/>
        <i x="16" s="1"/>
        <i x="18" s="1"/>
        <i x="30" s="1"/>
        <i x="17" s="1"/>
        <i x="6" s="1"/>
        <i x="35" s="1"/>
        <i x="20" s="1"/>
        <i x="1" s="1"/>
        <i x="4" s="1"/>
        <i x="23" s="1"/>
        <i x="24" s="1"/>
        <i x="15" s="1"/>
        <i x="28" s="1"/>
        <i x="11" s="1"/>
        <i x="14" s="1"/>
        <i x="26" s="1"/>
        <i x="13" s="1"/>
        <i x="36" s="1"/>
        <i x="3" s="1"/>
        <i x="5" s="1"/>
        <i x="9" s="1"/>
        <i x="10" s="1"/>
        <i x="37" s="1"/>
        <i x="29" s="1"/>
        <i x="25" s="1"/>
        <i x="8" s="1"/>
        <i x="19" s="1"/>
        <i x="7" s="1"/>
        <i x="27" s="1"/>
        <i x="0" s="1"/>
        <i x="32" s="1"/>
        <i x="3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281ED0F5-EED8-413F-BBA2-9C5CBA2E5AAD}" sourceName="Description">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InvoiceDate)" xr10:uid="{DCCD9BCB-D6A4-4D89-B9AB-384389BFBA56}" cache="Slicer_Months__InvoiceDate" caption="Months (InvoiceDate)" columnCount="3" style="SlicerStyleLight2" rowHeight="247650"/>
  <slicer name="Country" xr10:uid="{3E159CBF-D7AC-4FBF-8D16-3FE23E82B18D}" cache="Slicer_Country" caption="Country" startItem="30"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xr10:uid="{B38C6993-935E-42D3-AEEA-D4C1C3EBD019}" cache="Slicer_Description" caption="Description" startItem="21"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926E18-5BBA-4802-B166-BCC038A825C4}" name="online_retail_dataset" displayName="online_retail_dataset" ref="A2:I147" totalsRowShown="0">
  <autoFilter ref="A2:I147" xr:uid="{96926E18-5BBA-4802-B166-BCC038A825C4}"/>
  <tableColumns count="9">
    <tableColumn id="1" xr3:uid="{96210758-668B-4A5D-8026-5906A37AAF5D}" name="InvoiceNo" dataDxfId="37"/>
    <tableColumn id="2" xr3:uid="{56DC43D0-501C-459B-B820-9480EAE65660}" name="StockCode" dataDxfId="36"/>
    <tableColumn id="3" xr3:uid="{C38A8D82-89C3-46DC-9CAC-60E88E397651}" name="Description" dataDxfId="35"/>
    <tableColumn id="4" xr3:uid="{0334B3D2-BC5C-4BA8-B8ED-7DD7680E5E9A}" name="Quantity"/>
    <tableColumn id="5" xr3:uid="{E968F0AA-044D-4CEA-84E4-DEC2DCA84316}" name="InvoiceDate" dataDxfId="34"/>
    <tableColumn id="6" xr3:uid="{73D13E72-50FB-4D70-A0D9-612D8088A176}" name="UnitPrice" dataCellStyle="Currency"/>
    <tableColumn id="7" xr3:uid="{19FDBE49-6FDD-4BBA-9743-AC6E75CD2196}" name="CustomerID"/>
    <tableColumn id="8" xr3:uid="{CEACB0EB-9597-4C23-B1CD-9013041AC37C}" name="Country" dataDxfId="33"/>
    <tableColumn id="9" xr3:uid="{66F6B053-F088-4988-AD0A-12C87187092D}" name="Revenue" dataCellStyle="Currency">
      <calculatedColumnFormula>online_retail_dataset[[#This Row],[Quantity]]*online_retail_dataset[[#This Row],[UnitPrice]]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40A6C-1FF7-4110-AED8-E013CC3BB004}">
  <dimension ref="A1:L147"/>
  <sheetViews>
    <sheetView topLeftCell="C1" workbookViewId="0">
      <selection activeCell="L18" sqref="L18"/>
    </sheetView>
  </sheetViews>
  <sheetFormatPr defaultRowHeight="14.4" x14ac:dyDescent="0.3"/>
  <cols>
    <col min="1" max="1" width="11.5546875" bestFit="1" customWidth="1"/>
    <col min="2" max="2" width="14.109375" bestFit="1" customWidth="1"/>
    <col min="3" max="3" width="39.77734375" bestFit="1" customWidth="1"/>
    <col min="4" max="4" width="10.33203125" bestFit="1" customWidth="1"/>
    <col min="5" max="5" width="15.33203125" bestFit="1" customWidth="1"/>
    <col min="6" max="6" width="11" bestFit="1" customWidth="1"/>
    <col min="7" max="7" width="13.109375" bestFit="1" customWidth="1"/>
    <col min="8" max="8" width="18.33203125" bestFit="1" customWidth="1"/>
    <col min="9" max="9" width="10.21875" bestFit="1" customWidth="1"/>
    <col min="10" max="10" width="10.6640625" customWidth="1"/>
    <col min="11" max="11" width="20.6640625" bestFit="1" customWidth="1"/>
    <col min="12" max="12" width="11.21875" bestFit="1" customWidth="1"/>
  </cols>
  <sheetData>
    <row r="1" spans="1:12" ht="41.4" customHeight="1" x14ac:dyDescent="0.3">
      <c r="A1" s="17" t="s">
        <v>350</v>
      </c>
      <c r="B1" s="17"/>
      <c r="C1" s="17"/>
      <c r="D1" s="17"/>
      <c r="E1" s="17"/>
      <c r="F1" s="17"/>
      <c r="G1" s="17"/>
      <c r="H1" s="17"/>
      <c r="I1" s="17"/>
    </row>
    <row r="2" spans="1:12" x14ac:dyDescent="0.3">
      <c r="A2" t="s">
        <v>0</v>
      </c>
      <c r="B2" t="s">
        <v>1</v>
      </c>
      <c r="C2" t="s">
        <v>2</v>
      </c>
      <c r="D2" t="s">
        <v>3</v>
      </c>
      <c r="E2" t="s">
        <v>4</v>
      </c>
      <c r="F2" t="s">
        <v>5</v>
      </c>
      <c r="G2" t="s">
        <v>6</v>
      </c>
      <c r="H2" t="s">
        <v>7</v>
      </c>
      <c r="I2" t="s">
        <v>358</v>
      </c>
    </row>
    <row r="3" spans="1:12" x14ac:dyDescent="0.3">
      <c r="A3" t="s">
        <v>8</v>
      </c>
      <c r="B3" t="s">
        <v>9</v>
      </c>
      <c r="C3" t="s">
        <v>10</v>
      </c>
      <c r="D3">
        <v>6</v>
      </c>
      <c r="E3" s="1">
        <v>40513.351388888892</v>
      </c>
      <c r="F3" s="12">
        <v>2.5499999999999998</v>
      </c>
      <c r="G3">
        <v>17850</v>
      </c>
      <c r="H3" t="s">
        <v>11</v>
      </c>
      <c r="I3" s="12">
        <f>online_retail_dataset[[#This Row],[Quantity]]*online_retail_dataset[[#This Row],[UnitPrice]]</f>
        <v>15.299999999999999</v>
      </c>
    </row>
    <row r="4" spans="1:12" x14ac:dyDescent="0.3">
      <c r="A4" t="s">
        <v>8</v>
      </c>
      <c r="B4" t="s">
        <v>12</v>
      </c>
      <c r="C4" t="s">
        <v>13</v>
      </c>
      <c r="D4">
        <v>6</v>
      </c>
      <c r="E4" s="1">
        <v>40513.351388888892</v>
      </c>
      <c r="F4" s="12">
        <v>3.39</v>
      </c>
      <c r="G4">
        <v>17850</v>
      </c>
      <c r="H4" t="s">
        <v>11</v>
      </c>
      <c r="I4" s="12">
        <f>online_retail_dataset[[#This Row],[Quantity]]*online_retail_dataset[[#This Row],[UnitPrice]]</f>
        <v>20.34</v>
      </c>
    </row>
    <row r="5" spans="1:12" x14ac:dyDescent="0.3">
      <c r="A5" t="s">
        <v>8</v>
      </c>
      <c r="B5" t="s">
        <v>14</v>
      </c>
      <c r="C5" t="s">
        <v>15</v>
      </c>
      <c r="D5">
        <v>8</v>
      </c>
      <c r="E5" s="1">
        <v>40513.351388888892</v>
      </c>
      <c r="F5" s="12">
        <v>2.75</v>
      </c>
      <c r="G5">
        <v>17850</v>
      </c>
      <c r="H5" t="s">
        <v>11</v>
      </c>
      <c r="I5" s="12">
        <f>online_retail_dataset[[#This Row],[Quantity]]*online_retail_dataset[[#This Row],[UnitPrice]]</f>
        <v>22</v>
      </c>
      <c r="K5" s="3" t="s">
        <v>351</v>
      </c>
      <c r="L5" s="2">
        <f>SUM(online_retail_dataset[Quantity])</f>
        <v>3748</v>
      </c>
    </row>
    <row r="6" spans="1:12" x14ac:dyDescent="0.3">
      <c r="A6" t="s">
        <v>8</v>
      </c>
      <c r="B6" t="s">
        <v>16</v>
      </c>
      <c r="C6" t="s">
        <v>17</v>
      </c>
      <c r="D6">
        <v>6</v>
      </c>
      <c r="E6" s="1">
        <v>40513.351388888892</v>
      </c>
      <c r="F6" s="12">
        <v>3.39</v>
      </c>
      <c r="G6">
        <v>17850</v>
      </c>
      <c r="H6" t="s">
        <v>11</v>
      </c>
      <c r="I6" s="12">
        <f>online_retail_dataset[[#This Row],[Quantity]]*online_retail_dataset[[#This Row],[UnitPrice]]</f>
        <v>20.34</v>
      </c>
      <c r="K6" s="3" t="s">
        <v>352</v>
      </c>
      <c r="L6" s="2">
        <f>AVERAGE(online_retail_dataset[Quantity])</f>
        <v>25.848275862068967</v>
      </c>
    </row>
    <row r="7" spans="1:12" x14ac:dyDescent="0.3">
      <c r="A7" t="s">
        <v>22</v>
      </c>
      <c r="B7" t="s">
        <v>23</v>
      </c>
      <c r="C7" t="s">
        <v>24</v>
      </c>
      <c r="D7">
        <v>24</v>
      </c>
      <c r="E7" s="1">
        <v>40513.364583333336</v>
      </c>
      <c r="F7" s="12">
        <v>3.75</v>
      </c>
      <c r="G7">
        <v>12583</v>
      </c>
      <c r="H7" t="s">
        <v>25</v>
      </c>
      <c r="I7" s="12">
        <f>online_retail_dataset[[#This Row],[Quantity]]*online_retail_dataset[[#This Row],[UnitPrice]]</f>
        <v>90</v>
      </c>
      <c r="K7" s="3" t="s">
        <v>365</v>
      </c>
      <c r="L7" s="14">
        <f>SUM(online_retail_dataset[Revenue])</f>
        <v>6292.9699999999921</v>
      </c>
    </row>
    <row r="8" spans="1:12" x14ac:dyDescent="0.3">
      <c r="A8" t="s">
        <v>22</v>
      </c>
      <c r="B8" t="s">
        <v>26</v>
      </c>
      <c r="C8" t="s">
        <v>27</v>
      </c>
      <c r="D8">
        <v>24</v>
      </c>
      <c r="E8" s="1">
        <v>40513.364583333336</v>
      </c>
      <c r="F8" s="12">
        <v>3.75</v>
      </c>
      <c r="G8">
        <v>12583</v>
      </c>
      <c r="H8" t="s">
        <v>25</v>
      </c>
      <c r="I8" s="12">
        <f>online_retail_dataset[[#This Row],[Quantity]]*online_retail_dataset[[#This Row],[UnitPrice]]</f>
        <v>90</v>
      </c>
      <c r="K8" s="3" t="s">
        <v>366</v>
      </c>
      <c r="L8" s="14">
        <f>AVERAGE(online_retail_dataset[Revenue])</f>
        <v>43.399793103448218</v>
      </c>
    </row>
    <row r="9" spans="1:12" x14ac:dyDescent="0.3">
      <c r="A9" t="s">
        <v>22</v>
      </c>
      <c r="B9" t="s">
        <v>28</v>
      </c>
      <c r="C9" t="s">
        <v>29</v>
      </c>
      <c r="D9">
        <v>12</v>
      </c>
      <c r="E9" s="1">
        <v>40513.364583333336</v>
      </c>
      <c r="F9" s="12">
        <v>3.75</v>
      </c>
      <c r="G9">
        <v>12583</v>
      </c>
      <c r="H9" t="s">
        <v>25</v>
      </c>
      <c r="I9" s="12">
        <f>online_retail_dataset[[#This Row],[Quantity]]*online_retail_dataset[[#This Row],[UnitPrice]]</f>
        <v>45</v>
      </c>
      <c r="K9" s="3" t="s">
        <v>367</v>
      </c>
      <c r="L9" s="2">
        <f>COUNT(_xlfn.UNIQUE(online_retail_dataset[CustomerID]))</f>
        <v>40</v>
      </c>
    </row>
    <row r="10" spans="1:12" x14ac:dyDescent="0.3">
      <c r="A10" t="s">
        <v>22</v>
      </c>
      <c r="B10" t="s">
        <v>30</v>
      </c>
      <c r="C10" t="s">
        <v>31</v>
      </c>
      <c r="D10">
        <v>12</v>
      </c>
      <c r="E10" s="1">
        <v>40513.364583333336</v>
      </c>
      <c r="F10" s="12">
        <v>0.85</v>
      </c>
      <c r="G10">
        <v>12583</v>
      </c>
      <c r="H10" t="s">
        <v>25</v>
      </c>
      <c r="I10" s="12">
        <f>online_retail_dataset[[#This Row],[Quantity]]*online_retail_dataset[[#This Row],[UnitPrice]]</f>
        <v>10.199999999999999</v>
      </c>
      <c r="K10" s="3" t="s">
        <v>368</v>
      </c>
      <c r="L10" s="2">
        <f>COUNTA(_xlfn.UNIQUE(online_retail_dataset[InvoiceNo]))</f>
        <v>44</v>
      </c>
    </row>
    <row r="11" spans="1:12" x14ac:dyDescent="0.3">
      <c r="A11" t="s">
        <v>72</v>
      </c>
      <c r="B11" t="s">
        <v>73</v>
      </c>
      <c r="C11" t="s">
        <v>74</v>
      </c>
      <c r="D11">
        <v>6</v>
      </c>
      <c r="E11" s="1">
        <v>40513.418749999997</v>
      </c>
      <c r="F11" s="12">
        <v>8.5</v>
      </c>
      <c r="G11">
        <v>12431</v>
      </c>
      <c r="H11" t="s">
        <v>75</v>
      </c>
      <c r="I11" s="12">
        <f>online_retail_dataset[[#This Row],[Quantity]]*online_retail_dataset[[#This Row],[UnitPrice]]</f>
        <v>51</v>
      </c>
      <c r="K11" s="3" t="s">
        <v>369</v>
      </c>
      <c r="L11" s="2">
        <f>COUNTA(_xlfn.UNIQUE(online_retail_dataset[Country]))</f>
        <v>38</v>
      </c>
    </row>
    <row r="12" spans="1:12" x14ac:dyDescent="0.3">
      <c r="A12" t="s">
        <v>72</v>
      </c>
      <c r="B12" t="s">
        <v>76</v>
      </c>
      <c r="C12" t="s">
        <v>77</v>
      </c>
      <c r="D12">
        <v>8</v>
      </c>
      <c r="E12" s="1">
        <v>40513.418749999997</v>
      </c>
      <c r="F12" s="12">
        <v>4.95</v>
      </c>
      <c r="G12">
        <v>12431</v>
      </c>
      <c r="H12" t="s">
        <v>75</v>
      </c>
      <c r="I12" s="12">
        <f>online_retail_dataset[[#This Row],[Quantity]]*online_retail_dataset[[#This Row],[UnitPrice]]</f>
        <v>39.6</v>
      </c>
      <c r="K12" s="3" t="s">
        <v>372</v>
      </c>
      <c r="L12" s="2">
        <f>COUNTA(_xlfn.UNIQUE(online_retail_dataset[Description]))</f>
        <v>130</v>
      </c>
    </row>
    <row r="13" spans="1:12" x14ac:dyDescent="0.3">
      <c r="A13" t="s">
        <v>72</v>
      </c>
      <c r="B13" t="s">
        <v>32</v>
      </c>
      <c r="C13" t="s">
        <v>33</v>
      </c>
      <c r="D13">
        <v>12</v>
      </c>
      <c r="E13" s="1">
        <v>40513.418749999997</v>
      </c>
      <c r="F13" s="12">
        <v>1.25</v>
      </c>
      <c r="G13">
        <v>12431</v>
      </c>
      <c r="H13" t="s">
        <v>75</v>
      </c>
      <c r="I13" s="12">
        <f>online_retail_dataset[[#This Row],[Quantity]]*online_retail_dataset[[#This Row],[UnitPrice]]</f>
        <v>15</v>
      </c>
    </row>
    <row r="14" spans="1:12" x14ac:dyDescent="0.3">
      <c r="A14" t="s">
        <v>72</v>
      </c>
      <c r="B14" t="s">
        <v>60</v>
      </c>
      <c r="C14" t="s">
        <v>61</v>
      </c>
      <c r="D14">
        <v>6</v>
      </c>
      <c r="E14" s="1">
        <v>40513.418749999997</v>
      </c>
      <c r="F14" s="12">
        <v>5.45</v>
      </c>
      <c r="G14">
        <v>12431</v>
      </c>
      <c r="H14" t="s">
        <v>75</v>
      </c>
      <c r="I14" s="12">
        <f>online_retail_dataset[[#This Row],[Quantity]]*online_retail_dataset[[#This Row],[UnitPrice]]</f>
        <v>32.700000000000003</v>
      </c>
    </row>
    <row r="15" spans="1:12" x14ac:dyDescent="0.3">
      <c r="A15" t="s">
        <v>72</v>
      </c>
      <c r="B15" t="s">
        <v>78</v>
      </c>
      <c r="C15" t="s">
        <v>79</v>
      </c>
      <c r="D15">
        <v>4</v>
      </c>
      <c r="E15" s="1">
        <v>40513.418749999997</v>
      </c>
      <c r="F15" s="12">
        <v>6.35</v>
      </c>
      <c r="G15">
        <v>12431</v>
      </c>
      <c r="H15" t="s">
        <v>75</v>
      </c>
      <c r="I15" s="12">
        <f>online_retail_dataset[[#This Row],[Quantity]]*online_retail_dataset[[#This Row],[UnitPrice]]</f>
        <v>25.4</v>
      </c>
    </row>
    <row r="16" spans="1:12" x14ac:dyDescent="0.3">
      <c r="A16" t="s">
        <v>98</v>
      </c>
      <c r="B16" t="s">
        <v>88</v>
      </c>
      <c r="C16" t="s">
        <v>89</v>
      </c>
      <c r="D16">
        <v>96</v>
      </c>
      <c r="E16" s="1">
        <v>40513.477083333331</v>
      </c>
      <c r="F16" s="12">
        <v>1.85</v>
      </c>
      <c r="G16">
        <v>12791</v>
      </c>
      <c r="H16" t="s">
        <v>99</v>
      </c>
      <c r="I16" s="12">
        <f>online_retail_dataset[[#This Row],[Quantity]]*online_retail_dataset[[#This Row],[UnitPrice]]</f>
        <v>177.60000000000002</v>
      </c>
    </row>
    <row r="17" spans="1:9" x14ac:dyDescent="0.3">
      <c r="A17" t="s">
        <v>98</v>
      </c>
      <c r="B17" t="s">
        <v>38</v>
      </c>
      <c r="C17" t="s">
        <v>39</v>
      </c>
      <c r="D17">
        <v>1</v>
      </c>
      <c r="E17" s="1">
        <v>40513.477083333331</v>
      </c>
      <c r="F17" s="12">
        <v>15</v>
      </c>
      <c r="G17">
        <v>12791</v>
      </c>
      <c r="H17" t="s">
        <v>99</v>
      </c>
      <c r="I17" s="12">
        <f>online_retail_dataset[[#This Row],[Quantity]]*online_retail_dataset[[#This Row],[UnitPrice]]</f>
        <v>15</v>
      </c>
    </row>
    <row r="18" spans="1:9" x14ac:dyDescent="0.3">
      <c r="A18" t="s">
        <v>160</v>
      </c>
      <c r="B18" t="s">
        <v>94</v>
      </c>
      <c r="C18" t="s">
        <v>95</v>
      </c>
      <c r="D18">
        <v>6</v>
      </c>
      <c r="E18" s="1">
        <v>40513.544444444444</v>
      </c>
      <c r="F18" s="12">
        <v>2.95</v>
      </c>
      <c r="G18">
        <v>12662</v>
      </c>
      <c r="H18" t="s">
        <v>161</v>
      </c>
      <c r="I18" s="12">
        <f>online_retail_dataset[[#This Row],[Quantity]]*online_retail_dataset[[#This Row],[UnitPrice]]</f>
        <v>17.700000000000003</v>
      </c>
    </row>
    <row r="19" spans="1:9" x14ac:dyDescent="0.3">
      <c r="A19" t="s">
        <v>160</v>
      </c>
      <c r="B19" t="s">
        <v>122</v>
      </c>
      <c r="C19" t="s">
        <v>123</v>
      </c>
      <c r="D19">
        <v>6</v>
      </c>
      <c r="E19" s="1">
        <v>40513.544444444444</v>
      </c>
      <c r="F19" s="12">
        <v>2.5499999999999998</v>
      </c>
      <c r="G19">
        <v>12662</v>
      </c>
      <c r="H19" t="s">
        <v>161</v>
      </c>
      <c r="I19" s="12">
        <f>online_retail_dataset[[#This Row],[Quantity]]*online_retail_dataset[[#This Row],[UnitPrice]]</f>
        <v>15.299999999999999</v>
      </c>
    </row>
    <row r="20" spans="1:9" x14ac:dyDescent="0.3">
      <c r="A20" t="s">
        <v>160</v>
      </c>
      <c r="B20" t="s">
        <v>162</v>
      </c>
      <c r="C20" t="s">
        <v>163</v>
      </c>
      <c r="D20">
        <v>12</v>
      </c>
      <c r="E20" s="1">
        <v>40513.544444444444</v>
      </c>
      <c r="F20" s="12">
        <v>0.85</v>
      </c>
      <c r="G20">
        <v>12662</v>
      </c>
      <c r="H20" t="s">
        <v>161</v>
      </c>
      <c r="I20" s="12">
        <f>online_retail_dataset[[#This Row],[Quantity]]*online_retail_dataset[[#This Row],[UnitPrice]]</f>
        <v>10.199999999999999</v>
      </c>
    </row>
    <row r="21" spans="1:9" x14ac:dyDescent="0.3">
      <c r="A21" t="s">
        <v>160</v>
      </c>
      <c r="B21" t="s">
        <v>70</v>
      </c>
      <c r="C21" t="s">
        <v>71</v>
      </c>
      <c r="D21">
        <v>12</v>
      </c>
      <c r="E21" s="1">
        <v>40513.544444444444</v>
      </c>
      <c r="F21" s="12">
        <v>1.65</v>
      </c>
      <c r="G21">
        <v>12662</v>
      </c>
      <c r="H21" t="s">
        <v>161</v>
      </c>
      <c r="I21" s="12">
        <f>online_retail_dataset[[#This Row],[Quantity]]*online_retail_dataset[[#This Row],[UnitPrice]]</f>
        <v>19.799999999999997</v>
      </c>
    </row>
    <row r="22" spans="1:9" x14ac:dyDescent="0.3">
      <c r="A22" t="s">
        <v>168</v>
      </c>
      <c r="B22" t="s">
        <v>169</v>
      </c>
      <c r="C22" t="s">
        <v>170</v>
      </c>
      <c r="D22">
        <v>50</v>
      </c>
      <c r="E22" s="1">
        <v>40513.558333333334</v>
      </c>
      <c r="F22" s="12">
        <v>0.42</v>
      </c>
      <c r="G22">
        <v>12433</v>
      </c>
      <c r="H22" t="s">
        <v>171</v>
      </c>
      <c r="I22" s="12">
        <f>online_retail_dataset[[#This Row],[Quantity]]*online_retail_dataset[[#This Row],[UnitPrice]]</f>
        <v>21</v>
      </c>
    </row>
    <row r="23" spans="1:9" x14ac:dyDescent="0.3">
      <c r="A23" t="s">
        <v>168</v>
      </c>
      <c r="B23" t="s">
        <v>172</v>
      </c>
      <c r="C23" t="s">
        <v>173</v>
      </c>
      <c r="D23">
        <v>96</v>
      </c>
      <c r="E23" s="1">
        <v>40513.558333333334</v>
      </c>
      <c r="F23" s="12">
        <v>1.06</v>
      </c>
      <c r="G23">
        <v>12433</v>
      </c>
      <c r="H23" t="s">
        <v>171</v>
      </c>
      <c r="I23" s="12">
        <f>online_retail_dataset[[#This Row],[Quantity]]*online_retail_dataset[[#This Row],[UnitPrice]]</f>
        <v>101.76</v>
      </c>
    </row>
    <row r="24" spans="1:9" x14ac:dyDescent="0.3">
      <c r="A24" t="s">
        <v>168</v>
      </c>
      <c r="B24" t="s">
        <v>140</v>
      </c>
      <c r="C24" t="s">
        <v>141</v>
      </c>
      <c r="D24">
        <v>8</v>
      </c>
      <c r="E24" s="1">
        <v>40513.558333333334</v>
      </c>
      <c r="F24" s="12">
        <v>2.1</v>
      </c>
      <c r="G24">
        <v>12433</v>
      </c>
      <c r="H24" t="s">
        <v>171</v>
      </c>
      <c r="I24" s="12">
        <f>online_retail_dataset[[#This Row],[Quantity]]*online_retail_dataset[[#This Row],[UnitPrice]]</f>
        <v>16.8</v>
      </c>
    </row>
    <row r="25" spans="1:9" x14ac:dyDescent="0.3">
      <c r="A25" t="s">
        <v>184</v>
      </c>
      <c r="B25" t="s">
        <v>82</v>
      </c>
      <c r="C25" t="s">
        <v>83</v>
      </c>
      <c r="D25">
        <v>4</v>
      </c>
      <c r="E25" s="1">
        <v>40513.586805555555</v>
      </c>
      <c r="F25" s="12">
        <v>9.9499999999999993</v>
      </c>
      <c r="G25">
        <v>14911</v>
      </c>
      <c r="H25" t="s">
        <v>185</v>
      </c>
      <c r="I25" s="12">
        <f>online_retail_dataset[[#This Row],[Quantity]]*online_retail_dataset[[#This Row],[UnitPrice]]</f>
        <v>39.799999999999997</v>
      </c>
    </row>
    <row r="26" spans="1:9" x14ac:dyDescent="0.3">
      <c r="A26" t="s">
        <v>184</v>
      </c>
      <c r="B26" t="s">
        <v>186</v>
      </c>
      <c r="C26" t="s">
        <v>187</v>
      </c>
      <c r="D26">
        <v>6</v>
      </c>
      <c r="E26" s="1">
        <v>40513.586805555555</v>
      </c>
      <c r="F26" s="12">
        <v>2.95</v>
      </c>
      <c r="G26">
        <v>14911</v>
      </c>
      <c r="H26" t="s">
        <v>185</v>
      </c>
      <c r="I26" s="12">
        <f>online_retail_dataset[[#This Row],[Quantity]]*online_retail_dataset[[#This Row],[UnitPrice]]</f>
        <v>17.700000000000003</v>
      </c>
    </row>
    <row r="27" spans="1:9" x14ac:dyDescent="0.3">
      <c r="A27" t="s">
        <v>184</v>
      </c>
      <c r="B27" t="s">
        <v>188</v>
      </c>
      <c r="C27" t="s">
        <v>189</v>
      </c>
      <c r="D27">
        <v>6</v>
      </c>
      <c r="E27" s="1">
        <v>40513.586805555555</v>
      </c>
      <c r="F27" s="12">
        <v>2.5499999999999998</v>
      </c>
      <c r="G27">
        <v>14911</v>
      </c>
      <c r="H27" t="s">
        <v>185</v>
      </c>
      <c r="I27" s="12">
        <f>online_retail_dataset[[#This Row],[Quantity]]*online_retail_dataset[[#This Row],[UnitPrice]]</f>
        <v>15.299999999999999</v>
      </c>
    </row>
    <row r="28" spans="1:9" x14ac:dyDescent="0.3">
      <c r="A28" t="s">
        <v>184</v>
      </c>
      <c r="B28" t="s">
        <v>190</v>
      </c>
      <c r="C28" t="s">
        <v>191</v>
      </c>
      <c r="D28">
        <v>50</v>
      </c>
      <c r="E28" s="1">
        <v>40513.586805555555</v>
      </c>
      <c r="F28" s="12">
        <v>0.85</v>
      </c>
      <c r="G28">
        <v>14911</v>
      </c>
      <c r="H28" t="s">
        <v>185</v>
      </c>
      <c r="I28" s="12">
        <f>online_retail_dataset[[#This Row],[Quantity]]*online_retail_dataset[[#This Row],[UnitPrice]]</f>
        <v>42.5</v>
      </c>
    </row>
    <row r="29" spans="1:9" x14ac:dyDescent="0.3">
      <c r="A29" t="s">
        <v>184</v>
      </c>
      <c r="B29" t="s">
        <v>192</v>
      </c>
      <c r="C29" t="s">
        <v>193</v>
      </c>
      <c r="D29">
        <v>6</v>
      </c>
      <c r="E29" s="1">
        <v>40513.586805555555</v>
      </c>
      <c r="F29" s="12">
        <v>2.25</v>
      </c>
      <c r="G29">
        <v>14911</v>
      </c>
      <c r="H29" t="s">
        <v>185</v>
      </c>
      <c r="I29" s="12">
        <f>online_retail_dataset[[#This Row],[Quantity]]*online_retail_dataset[[#This Row],[UnitPrice]]</f>
        <v>13.5</v>
      </c>
    </row>
    <row r="30" spans="1:9" x14ac:dyDescent="0.3">
      <c r="A30" t="s">
        <v>242</v>
      </c>
      <c r="B30" t="s">
        <v>224</v>
      </c>
      <c r="C30" t="s">
        <v>225</v>
      </c>
      <c r="D30">
        <v>4</v>
      </c>
      <c r="E30" s="1">
        <v>40514.652083333334</v>
      </c>
      <c r="F30" s="12">
        <v>3.75</v>
      </c>
      <c r="G30">
        <v>16203</v>
      </c>
      <c r="H30" t="s">
        <v>11</v>
      </c>
      <c r="I30" s="12">
        <f>online_retail_dataset[[#This Row],[Quantity]]*online_retail_dataset[[#This Row],[UnitPrice]]</f>
        <v>15</v>
      </c>
    </row>
    <row r="31" spans="1:9" x14ac:dyDescent="0.3">
      <c r="A31" t="s">
        <v>242</v>
      </c>
      <c r="B31" t="s">
        <v>28</v>
      </c>
      <c r="C31" t="s">
        <v>29</v>
      </c>
      <c r="D31">
        <v>4</v>
      </c>
      <c r="E31" s="1">
        <v>40514.652083333334</v>
      </c>
      <c r="F31" s="12">
        <v>3.75</v>
      </c>
      <c r="G31">
        <v>16203</v>
      </c>
      <c r="H31" t="s">
        <v>11</v>
      </c>
      <c r="I31" s="12">
        <f>online_retail_dataset[[#This Row],[Quantity]]*online_retail_dataset[[#This Row],[UnitPrice]]</f>
        <v>15</v>
      </c>
    </row>
    <row r="32" spans="1:9" x14ac:dyDescent="0.3">
      <c r="A32" t="s">
        <v>242</v>
      </c>
      <c r="B32" t="s">
        <v>20</v>
      </c>
      <c r="C32" t="s">
        <v>21</v>
      </c>
      <c r="D32">
        <v>6</v>
      </c>
      <c r="E32" s="1">
        <v>40514.652083333334</v>
      </c>
      <c r="F32" s="12">
        <v>4.25</v>
      </c>
      <c r="G32">
        <v>16203</v>
      </c>
      <c r="H32" t="s">
        <v>11</v>
      </c>
      <c r="I32" s="12">
        <f>online_retail_dataset[[#This Row],[Quantity]]*online_retail_dataset[[#This Row],[UnitPrice]]</f>
        <v>25.5</v>
      </c>
    </row>
    <row r="33" spans="1:9" x14ac:dyDescent="0.3">
      <c r="A33" t="s">
        <v>242</v>
      </c>
      <c r="B33" t="s">
        <v>126</v>
      </c>
      <c r="C33" t="s">
        <v>127</v>
      </c>
      <c r="D33">
        <v>4</v>
      </c>
      <c r="E33" s="1">
        <v>40514.652083333334</v>
      </c>
      <c r="F33" s="12">
        <v>3.75</v>
      </c>
      <c r="G33">
        <v>16203</v>
      </c>
      <c r="H33" t="s">
        <v>11</v>
      </c>
      <c r="I33" s="12">
        <f>online_retail_dataset[[#This Row],[Quantity]]*online_retail_dataset[[#This Row],[UnitPrice]]</f>
        <v>15</v>
      </c>
    </row>
    <row r="34" spans="1:9" x14ac:dyDescent="0.3">
      <c r="A34" t="s">
        <v>242</v>
      </c>
      <c r="B34" t="s">
        <v>134</v>
      </c>
      <c r="C34" t="s">
        <v>135</v>
      </c>
      <c r="D34">
        <v>4</v>
      </c>
      <c r="E34" s="1">
        <v>40514.652083333334</v>
      </c>
      <c r="F34" s="12">
        <v>3.75</v>
      </c>
      <c r="G34">
        <v>16203</v>
      </c>
      <c r="H34" t="s">
        <v>11</v>
      </c>
      <c r="I34" s="12">
        <f>online_retail_dataset[[#This Row],[Quantity]]*online_retail_dataset[[#This Row],[UnitPrice]]</f>
        <v>15</v>
      </c>
    </row>
    <row r="35" spans="1:9" x14ac:dyDescent="0.3">
      <c r="A35" t="s">
        <v>242</v>
      </c>
      <c r="B35" t="s">
        <v>208</v>
      </c>
      <c r="C35" t="s">
        <v>209</v>
      </c>
      <c r="D35">
        <v>12</v>
      </c>
      <c r="E35" s="1">
        <v>40514.652083333334</v>
      </c>
      <c r="F35" s="12">
        <v>1.25</v>
      </c>
      <c r="G35">
        <v>16203</v>
      </c>
      <c r="H35" t="s">
        <v>11</v>
      </c>
      <c r="I35" s="12">
        <f>online_retail_dataset[[#This Row],[Quantity]]*online_retail_dataset[[#This Row],[UnitPrice]]</f>
        <v>15</v>
      </c>
    </row>
    <row r="36" spans="1:9" x14ac:dyDescent="0.3">
      <c r="A36" t="s">
        <v>242</v>
      </c>
      <c r="B36" t="s">
        <v>138</v>
      </c>
      <c r="C36" t="s">
        <v>139</v>
      </c>
      <c r="D36">
        <v>4</v>
      </c>
      <c r="E36" s="1">
        <v>40514.652083333334</v>
      </c>
      <c r="F36" s="12">
        <v>3.75</v>
      </c>
      <c r="G36">
        <v>16203</v>
      </c>
      <c r="H36" t="s">
        <v>11</v>
      </c>
      <c r="I36" s="12">
        <f>online_retail_dataset[[#This Row],[Quantity]]*online_retail_dataset[[#This Row],[UnitPrice]]</f>
        <v>15</v>
      </c>
    </row>
    <row r="37" spans="1:9" x14ac:dyDescent="0.3">
      <c r="A37" t="s">
        <v>242</v>
      </c>
      <c r="B37" t="s">
        <v>56</v>
      </c>
      <c r="C37" t="s">
        <v>57</v>
      </c>
      <c r="D37">
        <v>4</v>
      </c>
      <c r="E37" s="1">
        <v>40514.652083333334</v>
      </c>
      <c r="F37" s="12">
        <v>3.75</v>
      </c>
      <c r="G37">
        <v>16203</v>
      </c>
      <c r="H37" t="s">
        <v>11</v>
      </c>
      <c r="I37" s="12">
        <f>online_retail_dataset[[#This Row],[Quantity]]*online_retail_dataset[[#This Row],[UnitPrice]]</f>
        <v>15</v>
      </c>
    </row>
    <row r="38" spans="1:9" x14ac:dyDescent="0.3">
      <c r="A38" t="s">
        <v>242</v>
      </c>
      <c r="B38" t="s">
        <v>114</v>
      </c>
      <c r="C38" t="s">
        <v>115</v>
      </c>
      <c r="D38">
        <v>12</v>
      </c>
      <c r="E38" s="1">
        <v>40514.652083333334</v>
      </c>
      <c r="F38" s="12">
        <v>1.25</v>
      </c>
      <c r="G38">
        <v>16203</v>
      </c>
      <c r="H38" t="s">
        <v>11</v>
      </c>
      <c r="I38" s="12">
        <f>online_retail_dataset[[#This Row],[Quantity]]*online_retail_dataset[[#This Row],[UnitPrice]]</f>
        <v>15</v>
      </c>
    </row>
    <row r="39" spans="1:9" x14ac:dyDescent="0.3">
      <c r="A39" t="s">
        <v>247</v>
      </c>
      <c r="B39" t="s">
        <v>146</v>
      </c>
      <c r="C39" t="s">
        <v>147</v>
      </c>
      <c r="D39">
        <v>6</v>
      </c>
      <c r="E39" s="1">
        <v>40514.689583333333</v>
      </c>
      <c r="F39" s="12">
        <v>3.75</v>
      </c>
      <c r="G39">
        <v>14911</v>
      </c>
      <c r="H39" t="s">
        <v>185</v>
      </c>
      <c r="I39" s="12">
        <f>online_retail_dataset[[#This Row],[Quantity]]*online_retail_dataset[[#This Row],[UnitPrice]]</f>
        <v>22.5</v>
      </c>
    </row>
    <row r="40" spans="1:9" x14ac:dyDescent="0.3">
      <c r="A40" t="s">
        <v>248</v>
      </c>
      <c r="B40" t="s">
        <v>34</v>
      </c>
      <c r="C40" t="s">
        <v>35</v>
      </c>
      <c r="D40">
        <v>30</v>
      </c>
      <c r="E40" s="1">
        <v>40515.441666666666</v>
      </c>
      <c r="F40" s="12">
        <v>2.95</v>
      </c>
      <c r="G40">
        <v>13520</v>
      </c>
      <c r="H40" t="s">
        <v>249</v>
      </c>
      <c r="I40" s="12">
        <f>online_retail_dataset[[#This Row],[Quantity]]*online_retail_dataset[[#This Row],[UnitPrice]]</f>
        <v>88.5</v>
      </c>
    </row>
    <row r="41" spans="1:9" x14ac:dyDescent="0.3">
      <c r="A41" t="s">
        <v>248</v>
      </c>
      <c r="B41" t="s">
        <v>144</v>
      </c>
      <c r="C41" t="s">
        <v>145</v>
      </c>
      <c r="D41">
        <v>36</v>
      </c>
      <c r="E41" s="1">
        <v>40515.441666666666</v>
      </c>
      <c r="F41" s="12">
        <v>1.65</v>
      </c>
      <c r="G41">
        <v>13520</v>
      </c>
      <c r="H41" t="s">
        <v>249</v>
      </c>
      <c r="I41" s="12">
        <f>online_retail_dataset[[#This Row],[Quantity]]*online_retail_dataset[[#This Row],[UnitPrice]]</f>
        <v>59.4</v>
      </c>
    </row>
    <row r="42" spans="1:9" x14ac:dyDescent="0.3">
      <c r="A42" t="s">
        <v>248</v>
      </c>
      <c r="B42" t="s">
        <v>36</v>
      </c>
      <c r="C42" t="s">
        <v>37</v>
      </c>
      <c r="D42">
        <v>24</v>
      </c>
      <c r="E42" s="1">
        <v>40515.441666666666</v>
      </c>
      <c r="F42" s="12">
        <v>1.65</v>
      </c>
      <c r="G42">
        <v>13520</v>
      </c>
      <c r="H42" t="s">
        <v>249</v>
      </c>
      <c r="I42" s="12">
        <f>online_retail_dataset[[#This Row],[Quantity]]*online_retail_dataset[[#This Row],[UnitPrice]]</f>
        <v>39.599999999999994</v>
      </c>
    </row>
    <row r="43" spans="1:9" x14ac:dyDescent="0.3">
      <c r="A43" t="s">
        <v>256</v>
      </c>
      <c r="B43" t="s">
        <v>106</v>
      </c>
      <c r="C43" t="s">
        <v>107</v>
      </c>
      <c r="D43">
        <v>70</v>
      </c>
      <c r="E43" s="1">
        <v>40515.513888888891</v>
      </c>
      <c r="F43" s="12">
        <v>1.65</v>
      </c>
      <c r="G43">
        <v>12557</v>
      </c>
      <c r="H43" t="s">
        <v>257</v>
      </c>
      <c r="I43" s="12">
        <f>online_retail_dataset[[#This Row],[Quantity]]*online_retail_dataset[[#This Row],[UnitPrice]]</f>
        <v>115.5</v>
      </c>
    </row>
    <row r="44" spans="1:9" x14ac:dyDescent="0.3">
      <c r="A44" t="s">
        <v>256</v>
      </c>
      <c r="B44" t="s">
        <v>96</v>
      </c>
      <c r="C44" t="s">
        <v>97</v>
      </c>
      <c r="D44">
        <v>100</v>
      </c>
      <c r="E44" s="1">
        <v>40515.513888888891</v>
      </c>
      <c r="F44" s="12">
        <v>1.45</v>
      </c>
      <c r="G44">
        <v>12557</v>
      </c>
      <c r="H44" t="s">
        <v>257</v>
      </c>
      <c r="I44" s="12">
        <f>online_retail_dataset[[#This Row],[Quantity]]*online_retail_dataset[[#This Row],[UnitPrice]]</f>
        <v>145</v>
      </c>
    </row>
    <row r="45" spans="1:9" x14ac:dyDescent="0.3">
      <c r="A45" t="s">
        <v>256</v>
      </c>
      <c r="B45" t="s">
        <v>110</v>
      </c>
      <c r="C45" t="s">
        <v>111</v>
      </c>
      <c r="D45">
        <v>60</v>
      </c>
      <c r="E45" s="1">
        <v>40515.513888888891</v>
      </c>
      <c r="F45" s="12">
        <v>1.65</v>
      </c>
      <c r="G45">
        <v>12557</v>
      </c>
      <c r="H45" t="s">
        <v>257</v>
      </c>
      <c r="I45" s="12">
        <f>online_retail_dataset[[#This Row],[Quantity]]*online_retail_dataset[[#This Row],[UnitPrice]]</f>
        <v>99</v>
      </c>
    </row>
    <row r="46" spans="1:9" x14ac:dyDescent="0.3">
      <c r="A46" t="s">
        <v>258</v>
      </c>
      <c r="B46" t="s">
        <v>40</v>
      </c>
      <c r="C46" t="s">
        <v>41</v>
      </c>
      <c r="D46">
        <v>32</v>
      </c>
      <c r="E46" s="1">
        <v>40515.569444444445</v>
      </c>
      <c r="F46" s="12">
        <v>2.5499999999999998</v>
      </c>
      <c r="G46">
        <v>12779</v>
      </c>
      <c r="H46" t="s">
        <v>259</v>
      </c>
      <c r="I46" s="12">
        <f>online_retail_dataset[[#This Row],[Quantity]]*online_retail_dataset[[#This Row],[UnitPrice]]</f>
        <v>81.599999999999994</v>
      </c>
    </row>
    <row r="47" spans="1:9" x14ac:dyDescent="0.3">
      <c r="A47" t="s">
        <v>258</v>
      </c>
      <c r="B47" t="s">
        <v>90</v>
      </c>
      <c r="C47" t="s">
        <v>91</v>
      </c>
      <c r="D47">
        <v>24</v>
      </c>
      <c r="E47" s="1">
        <v>40515.569444444445</v>
      </c>
      <c r="F47" s="12">
        <v>1.25</v>
      </c>
      <c r="G47">
        <v>12779</v>
      </c>
      <c r="H47" t="s">
        <v>259</v>
      </c>
      <c r="I47" s="12">
        <f>online_retail_dataset[[#This Row],[Quantity]]*online_retail_dataset[[#This Row],[UnitPrice]]</f>
        <v>30</v>
      </c>
    </row>
    <row r="48" spans="1:9" x14ac:dyDescent="0.3">
      <c r="A48" t="s">
        <v>258</v>
      </c>
      <c r="B48" t="s">
        <v>218</v>
      </c>
      <c r="C48" t="s">
        <v>219</v>
      </c>
      <c r="D48">
        <v>8</v>
      </c>
      <c r="E48" s="1">
        <v>40515.569444444445</v>
      </c>
      <c r="F48" s="12">
        <v>1.45</v>
      </c>
      <c r="G48">
        <v>12779</v>
      </c>
      <c r="H48" t="s">
        <v>259</v>
      </c>
      <c r="I48" s="12">
        <f>online_retail_dataset[[#This Row],[Quantity]]*online_retail_dataset[[#This Row],[UnitPrice]]</f>
        <v>11.6</v>
      </c>
    </row>
    <row r="49" spans="1:9" x14ac:dyDescent="0.3">
      <c r="A49" t="s">
        <v>262</v>
      </c>
      <c r="B49" t="s">
        <v>150</v>
      </c>
      <c r="C49" t="s">
        <v>151</v>
      </c>
      <c r="D49">
        <v>6</v>
      </c>
      <c r="E49" s="1">
        <v>40515.634722222225</v>
      </c>
      <c r="F49" s="12">
        <v>2.95</v>
      </c>
      <c r="G49">
        <v>12793</v>
      </c>
      <c r="H49" t="s">
        <v>263</v>
      </c>
      <c r="I49" s="12">
        <f>online_retail_dataset[[#This Row],[Quantity]]*online_retail_dataset[[#This Row],[UnitPrice]]</f>
        <v>17.700000000000003</v>
      </c>
    </row>
    <row r="50" spans="1:9" x14ac:dyDescent="0.3">
      <c r="A50" t="s">
        <v>262</v>
      </c>
      <c r="B50" t="s">
        <v>106</v>
      </c>
      <c r="C50" t="s">
        <v>107</v>
      </c>
      <c r="D50">
        <v>10</v>
      </c>
      <c r="E50" s="1">
        <v>40515.634722222225</v>
      </c>
      <c r="F50" s="12">
        <v>1.65</v>
      </c>
      <c r="G50">
        <v>12793</v>
      </c>
      <c r="H50" t="s">
        <v>263</v>
      </c>
      <c r="I50" s="12">
        <f>online_retail_dataset[[#This Row],[Quantity]]*online_retail_dataset[[#This Row],[UnitPrice]]</f>
        <v>16.5</v>
      </c>
    </row>
    <row r="51" spans="1:9" x14ac:dyDescent="0.3">
      <c r="A51" t="s">
        <v>262</v>
      </c>
      <c r="B51" t="s">
        <v>108</v>
      </c>
      <c r="C51" t="s">
        <v>109</v>
      </c>
      <c r="D51">
        <v>14</v>
      </c>
      <c r="E51" s="1">
        <v>40515.634722222225</v>
      </c>
      <c r="F51" s="12">
        <v>1.65</v>
      </c>
      <c r="G51">
        <v>12793</v>
      </c>
      <c r="H51" t="s">
        <v>263</v>
      </c>
      <c r="I51" s="12">
        <f>online_retail_dataset[[#This Row],[Quantity]]*online_retail_dataset[[#This Row],[UnitPrice]]</f>
        <v>23.099999999999998</v>
      </c>
    </row>
    <row r="52" spans="1:9" x14ac:dyDescent="0.3">
      <c r="A52" t="s">
        <v>264</v>
      </c>
      <c r="B52" t="s">
        <v>180</v>
      </c>
      <c r="C52" t="s">
        <v>181</v>
      </c>
      <c r="D52">
        <v>12</v>
      </c>
      <c r="E52" s="1">
        <v>40515.65625</v>
      </c>
      <c r="F52" s="12">
        <v>1.25</v>
      </c>
      <c r="G52">
        <v>12725</v>
      </c>
      <c r="H52" t="s">
        <v>265</v>
      </c>
      <c r="I52" s="12">
        <f>online_retail_dataset[[#This Row],[Quantity]]*online_retail_dataset[[#This Row],[UnitPrice]]</f>
        <v>15</v>
      </c>
    </row>
    <row r="53" spans="1:9" x14ac:dyDescent="0.3">
      <c r="A53" t="s">
        <v>264</v>
      </c>
      <c r="B53" t="s">
        <v>266</v>
      </c>
      <c r="C53" t="s">
        <v>267</v>
      </c>
      <c r="D53">
        <v>12</v>
      </c>
      <c r="E53" s="1">
        <v>40515.65625</v>
      </c>
      <c r="F53" s="12">
        <v>1.25</v>
      </c>
      <c r="G53">
        <v>12725</v>
      </c>
      <c r="H53" t="s">
        <v>265</v>
      </c>
      <c r="I53" s="12">
        <f>online_retail_dataset[[#This Row],[Quantity]]*online_retail_dataset[[#This Row],[UnitPrice]]</f>
        <v>15</v>
      </c>
    </row>
    <row r="54" spans="1:9" x14ac:dyDescent="0.3">
      <c r="A54" t="s">
        <v>264</v>
      </c>
      <c r="B54" t="s">
        <v>268</v>
      </c>
      <c r="C54" t="s">
        <v>269</v>
      </c>
      <c r="D54">
        <v>6</v>
      </c>
      <c r="E54" s="1">
        <v>40515.65625</v>
      </c>
      <c r="F54" s="12">
        <v>1.65</v>
      </c>
      <c r="G54">
        <v>12725</v>
      </c>
      <c r="H54" t="s">
        <v>265</v>
      </c>
      <c r="I54" s="12">
        <f>online_retail_dataset[[#This Row],[Quantity]]*online_retail_dataset[[#This Row],[UnitPrice]]</f>
        <v>9.8999999999999986</v>
      </c>
    </row>
    <row r="55" spans="1:9" x14ac:dyDescent="0.3">
      <c r="A55" t="s">
        <v>264</v>
      </c>
      <c r="B55" t="s">
        <v>270</v>
      </c>
      <c r="C55" t="s">
        <v>271</v>
      </c>
      <c r="D55">
        <v>12</v>
      </c>
      <c r="E55" s="1">
        <v>40515.65625</v>
      </c>
      <c r="F55" s="12">
        <v>1.25</v>
      </c>
      <c r="G55">
        <v>12725</v>
      </c>
      <c r="H55" t="s">
        <v>265</v>
      </c>
      <c r="I55" s="12">
        <f>online_retail_dataset[[#This Row],[Quantity]]*online_retail_dataset[[#This Row],[UnitPrice]]</f>
        <v>15</v>
      </c>
    </row>
    <row r="56" spans="1:9" x14ac:dyDescent="0.3">
      <c r="A56" t="s">
        <v>264</v>
      </c>
      <c r="B56" t="s">
        <v>222</v>
      </c>
      <c r="C56" t="s">
        <v>223</v>
      </c>
      <c r="D56">
        <v>6</v>
      </c>
      <c r="E56" s="1">
        <v>40515.65625</v>
      </c>
      <c r="F56" s="12">
        <v>2.1</v>
      </c>
      <c r="G56">
        <v>12725</v>
      </c>
      <c r="H56" t="s">
        <v>265</v>
      </c>
      <c r="I56" s="12">
        <f>online_retail_dataset[[#This Row],[Quantity]]*online_retail_dataset[[#This Row],[UnitPrice]]</f>
        <v>12.600000000000001</v>
      </c>
    </row>
    <row r="57" spans="1:9" x14ac:dyDescent="0.3">
      <c r="A57" t="s">
        <v>272</v>
      </c>
      <c r="B57" t="s">
        <v>116</v>
      </c>
      <c r="C57" t="s">
        <v>117</v>
      </c>
      <c r="D57">
        <v>12</v>
      </c>
      <c r="E57" s="1">
        <v>40515.690972222219</v>
      </c>
      <c r="F57" s="12">
        <v>2.1</v>
      </c>
      <c r="G57">
        <v>12395</v>
      </c>
      <c r="H57" t="s">
        <v>273</v>
      </c>
      <c r="I57" s="12">
        <f>online_retail_dataset[[#This Row],[Quantity]]*online_retail_dataset[[#This Row],[UnitPrice]]</f>
        <v>25.200000000000003</v>
      </c>
    </row>
    <row r="58" spans="1:9" x14ac:dyDescent="0.3">
      <c r="A58" t="s">
        <v>272</v>
      </c>
      <c r="B58" t="s">
        <v>212</v>
      </c>
      <c r="C58" t="s">
        <v>213</v>
      </c>
      <c r="D58">
        <v>2</v>
      </c>
      <c r="E58" s="1">
        <v>40515.690972222219</v>
      </c>
      <c r="F58" s="12">
        <v>9.9499999999999993</v>
      </c>
      <c r="G58">
        <v>12395</v>
      </c>
      <c r="H58" t="s">
        <v>273</v>
      </c>
      <c r="I58" s="12">
        <f>online_retail_dataset[[#This Row],[Quantity]]*online_retail_dataset[[#This Row],[UnitPrice]]</f>
        <v>19.899999999999999</v>
      </c>
    </row>
    <row r="59" spans="1:9" x14ac:dyDescent="0.3">
      <c r="A59" t="s">
        <v>272</v>
      </c>
      <c r="B59" t="s">
        <v>42</v>
      </c>
      <c r="C59" t="s">
        <v>43</v>
      </c>
      <c r="D59">
        <v>120</v>
      </c>
      <c r="E59" s="1">
        <v>40515.690972222219</v>
      </c>
      <c r="F59" s="12">
        <v>0.42</v>
      </c>
      <c r="G59">
        <v>12395</v>
      </c>
      <c r="H59" t="s">
        <v>273</v>
      </c>
      <c r="I59" s="12">
        <f>online_retail_dataset[[#This Row],[Quantity]]*online_retail_dataset[[#This Row],[UnitPrice]]</f>
        <v>50.4</v>
      </c>
    </row>
    <row r="60" spans="1:9" x14ac:dyDescent="0.3">
      <c r="A60" t="s">
        <v>272</v>
      </c>
      <c r="B60" t="s">
        <v>44</v>
      </c>
      <c r="C60" t="s">
        <v>45</v>
      </c>
      <c r="D60">
        <v>120</v>
      </c>
      <c r="E60" s="1">
        <v>40515.690972222219</v>
      </c>
      <c r="F60" s="12">
        <v>0.42</v>
      </c>
      <c r="G60">
        <v>12395</v>
      </c>
      <c r="H60" t="s">
        <v>273</v>
      </c>
      <c r="I60" s="12">
        <f>online_retail_dataset[[#This Row],[Quantity]]*online_retail_dataset[[#This Row],[UnitPrice]]</f>
        <v>50.4</v>
      </c>
    </row>
    <row r="61" spans="1:9" x14ac:dyDescent="0.3">
      <c r="A61" t="s">
        <v>274</v>
      </c>
      <c r="B61" t="s">
        <v>230</v>
      </c>
      <c r="C61" t="s">
        <v>231</v>
      </c>
      <c r="D61">
        <v>12</v>
      </c>
      <c r="E61" s="1">
        <v>40517.5</v>
      </c>
      <c r="F61" s="12">
        <v>1.25</v>
      </c>
      <c r="G61">
        <v>15332</v>
      </c>
      <c r="H61" t="s">
        <v>275</v>
      </c>
      <c r="I61" s="12">
        <f>online_retail_dataset[[#This Row],[Quantity]]*online_retail_dataset[[#This Row],[UnitPrice]]</f>
        <v>15</v>
      </c>
    </row>
    <row r="62" spans="1:9" x14ac:dyDescent="0.3">
      <c r="A62" t="s">
        <v>274</v>
      </c>
      <c r="B62" t="s">
        <v>112</v>
      </c>
      <c r="C62" t="s">
        <v>113</v>
      </c>
      <c r="D62">
        <v>36</v>
      </c>
      <c r="E62" s="1">
        <v>40517.5</v>
      </c>
      <c r="F62" s="12">
        <v>1.25</v>
      </c>
      <c r="G62">
        <v>15332</v>
      </c>
      <c r="H62" t="s">
        <v>275</v>
      </c>
      <c r="I62" s="12">
        <f>online_retail_dataset[[#This Row],[Quantity]]*online_retail_dataset[[#This Row],[UnitPrice]]</f>
        <v>45</v>
      </c>
    </row>
    <row r="63" spans="1:9" x14ac:dyDescent="0.3">
      <c r="A63" t="s">
        <v>274</v>
      </c>
      <c r="B63" t="s">
        <v>52</v>
      </c>
      <c r="C63" t="s">
        <v>53</v>
      </c>
      <c r="D63">
        <v>12</v>
      </c>
      <c r="E63" s="1">
        <v>40517.5</v>
      </c>
      <c r="F63" s="12">
        <v>5.95</v>
      </c>
      <c r="G63">
        <v>15332</v>
      </c>
      <c r="H63" t="s">
        <v>275</v>
      </c>
      <c r="I63" s="12">
        <f>online_retail_dataset[[#This Row],[Quantity]]*online_retail_dataset[[#This Row],[UnitPrice]]</f>
        <v>71.400000000000006</v>
      </c>
    </row>
    <row r="64" spans="1:9" x14ac:dyDescent="0.3">
      <c r="A64" t="s">
        <v>276</v>
      </c>
      <c r="B64" t="s">
        <v>204</v>
      </c>
      <c r="C64" t="s">
        <v>205</v>
      </c>
      <c r="D64">
        <v>6</v>
      </c>
      <c r="E64" s="1">
        <v>40517.656944444447</v>
      </c>
      <c r="F64" s="12">
        <v>2.5499999999999998</v>
      </c>
      <c r="G64">
        <v>12763</v>
      </c>
      <c r="H64" t="s">
        <v>277</v>
      </c>
      <c r="I64" s="12">
        <f>online_retail_dataset[[#This Row],[Quantity]]*online_retail_dataset[[#This Row],[UnitPrice]]</f>
        <v>15.299999999999999</v>
      </c>
    </row>
    <row r="65" spans="1:9" x14ac:dyDescent="0.3">
      <c r="A65" t="s">
        <v>276</v>
      </c>
      <c r="B65" t="s">
        <v>86</v>
      </c>
      <c r="C65" t="s">
        <v>87</v>
      </c>
      <c r="D65">
        <v>12</v>
      </c>
      <c r="E65" s="1">
        <v>40517.656944444447</v>
      </c>
      <c r="F65" s="12">
        <v>0.42</v>
      </c>
      <c r="G65">
        <v>12763</v>
      </c>
      <c r="H65" t="s">
        <v>277</v>
      </c>
      <c r="I65" s="12">
        <f>online_retail_dataset[[#This Row],[Quantity]]*online_retail_dataset[[#This Row],[UnitPrice]]</f>
        <v>5.04</v>
      </c>
    </row>
    <row r="66" spans="1:9" x14ac:dyDescent="0.3">
      <c r="A66" t="s">
        <v>276</v>
      </c>
      <c r="B66" t="s">
        <v>120</v>
      </c>
      <c r="C66" t="s">
        <v>121</v>
      </c>
      <c r="D66">
        <v>12</v>
      </c>
      <c r="E66" s="1">
        <v>40517.656944444447</v>
      </c>
      <c r="F66" s="12">
        <v>0.42</v>
      </c>
      <c r="G66">
        <v>12763</v>
      </c>
      <c r="H66" t="s">
        <v>277</v>
      </c>
      <c r="I66" s="12">
        <f>online_retail_dataset[[#This Row],[Quantity]]*online_retail_dataset[[#This Row],[UnitPrice]]</f>
        <v>5.04</v>
      </c>
    </row>
    <row r="67" spans="1:9" x14ac:dyDescent="0.3">
      <c r="A67" t="s">
        <v>284</v>
      </c>
      <c r="B67" t="s">
        <v>128</v>
      </c>
      <c r="C67" t="s">
        <v>129</v>
      </c>
      <c r="D67">
        <v>12</v>
      </c>
      <c r="E67" s="1">
        <v>40519.622916666667</v>
      </c>
      <c r="F67" s="12">
        <v>2.1</v>
      </c>
      <c r="G67">
        <v>12347</v>
      </c>
      <c r="H67" t="s">
        <v>285</v>
      </c>
      <c r="I67" s="12">
        <f>online_retail_dataset[[#This Row],[Quantity]]*online_retail_dataset[[#This Row],[UnitPrice]]</f>
        <v>25.200000000000003</v>
      </c>
    </row>
    <row r="68" spans="1:9" x14ac:dyDescent="0.3">
      <c r="A68" t="s">
        <v>284</v>
      </c>
      <c r="B68" t="s">
        <v>194</v>
      </c>
      <c r="C68" t="s">
        <v>195</v>
      </c>
      <c r="D68">
        <v>4</v>
      </c>
      <c r="E68" s="1">
        <v>40519.622916666667</v>
      </c>
      <c r="F68" s="12">
        <v>4.25</v>
      </c>
      <c r="G68">
        <v>12347</v>
      </c>
      <c r="H68" t="s">
        <v>285</v>
      </c>
      <c r="I68" s="12">
        <f>online_retail_dataset[[#This Row],[Quantity]]*online_retail_dataset[[#This Row],[UnitPrice]]</f>
        <v>17</v>
      </c>
    </row>
    <row r="69" spans="1:9" x14ac:dyDescent="0.3">
      <c r="A69" t="s">
        <v>284</v>
      </c>
      <c r="B69" t="s">
        <v>226</v>
      </c>
      <c r="C69" t="s">
        <v>227</v>
      </c>
      <c r="D69">
        <v>12</v>
      </c>
      <c r="E69" s="1">
        <v>40519.622916666667</v>
      </c>
      <c r="F69" s="12">
        <v>3.25</v>
      </c>
      <c r="G69">
        <v>12347</v>
      </c>
      <c r="H69" t="s">
        <v>285</v>
      </c>
      <c r="I69" s="12">
        <f>online_retail_dataset[[#This Row],[Quantity]]*online_retail_dataset[[#This Row],[UnitPrice]]</f>
        <v>39</v>
      </c>
    </row>
    <row r="70" spans="1:9" x14ac:dyDescent="0.3">
      <c r="A70" t="s">
        <v>286</v>
      </c>
      <c r="B70" t="s">
        <v>176</v>
      </c>
      <c r="C70" t="s">
        <v>177</v>
      </c>
      <c r="D70">
        <v>24</v>
      </c>
      <c r="E70" s="1">
        <v>40520.411805555559</v>
      </c>
      <c r="F70" s="12">
        <v>1.25</v>
      </c>
      <c r="G70">
        <v>12386</v>
      </c>
      <c r="H70" t="s">
        <v>75</v>
      </c>
      <c r="I70" s="12">
        <f>online_retail_dataset[[#This Row],[Quantity]]*online_retail_dataset[[#This Row],[UnitPrice]]</f>
        <v>30</v>
      </c>
    </row>
    <row r="71" spans="1:9" x14ac:dyDescent="0.3">
      <c r="A71" t="s">
        <v>291</v>
      </c>
      <c r="B71" t="s">
        <v>278</v>
      </c>
      <c r="C71" t="s">
        <v>279</v>
      </c>
      <c r="D71">
        <v>2</v>
      </c>
      <c r="E71" s="1">
        <v>40521.491666666669</v>
      </c>
      <c r="F71" s="12">
        <v>7.95</v>
      </c>
      <c r="G71">
        <v>14932</v>
      </c>
      <c r="H71" t="s">
        <v>292</v>
      </c>
      <c r="I71" s="12">
        <f>online_retail_dataset[[#This Row],[Quantity]]*online_retail_dataset[[#This Row],[UnitPrice]]</f>
        <v>15.9</v>
      </c>
    </row>
    <row r="72" spans="1:9" x14ac:dyDescent="0.3">
      <c r="A72" t="s">
        <v>291</v>
      </c>
      <c r="B72" t="s">
        <v>130</v>
      </c>
      <c r="C72" t="s">
        <v>131</v>
      </c>
      <c r="D72">
        <v>2</v>
      </c>
      <c r="E72" s="1">
        <v>40521.491666666669</v>
      </c>
      <c r="F72" s="12">
        <v>7.95</v>
      </c>
      <c r="G72">
        <v>14932</v>
      </c>
      <c r="H72" t="s">
        <v>292</v>
      </c>
      <c r="I72" s="12">
        <f>online_retail_dataset[[#This Row],[Quantity]]*online_retail_dataset[[#This Row],[UnitPrice]]</f>
        <v>15.9</v>
      </c>
    </row>
    <row r="73" spans="1:9" x14ac:dyDescent="0.3">
      <c r="A73" t="s">
        <v>291</v>
      </c>
      <c r="B73" t="s">
        <v>118</v>
      </c>
      <c r="C73" t="s">
        <v>119</v>
      </c>
      <c r="D73">
        <v>2</v>
      </c>
      <c r="E73" s="1">
        <v>40521.491666666669</v>
      </c>
      <c r="F73" s="12">
        <v>7.95</v>
      </c>
      <c r="G73">
        <v>14932</v>
      </c>
      <c r="H73" t="s">
        <v>292</v>
      </c>
      <c r="I73" s="12">
        <f>online_retail_dataset[[#This Row],[Quantity]]*online_retail_dataset[[#This Row],[UnitPrice]]</f>
        <v>15.9</v>
      </c>
    </row>
    <row r="74" spans="1:9" x14ac:dyDescent="0.3">
      <c r="A74" t="s">
        <v>291</v>
      </c>
      <c r="B74" t="s">
        <v>54</v>
      </c>
      <c r="C74" t="s">
        <v>55</v>
      </c>
      <c r="D74">
        <v>2</v>
      </c>
      <c r="E74" s="1">
        <v>40521.491666666669</v>
      </c>
      <c r="F74" s="12">
        <v>7.95</v>
      </c>
      <c r="G74">
        <v>14932</v>
      </c>
      <c r="H74" t="s">
        <v>292</v>
      </c>
      <c r="I74" s="12">
        <f>online_retail_dataset[[#This Row],[Quantity]]*online_retail_dataset[[#This Row],[UnitPrice]]</f>
        <v>15.9</v>
      </c>
    </row>
    <row r="75" spans="1:9" x14ac:dyDescent="0.3">
      <c r="A75" t="s">
        <v>291</v>
      </c>
      <c r="B75" t="s">
        <v>50</v>
      </c>
      <c r="C75" t="s">
        <v>51</v>
      </c>
      <c r="D75">
        <v>12</v>
      </c>
      <c r="E75" s="1">
        <v>40521.491666666669</v>
      </c>
      <c r="F75" s="12">
        <v>1.69</v>
      </c>
      <c r="G75">
        <v>14932</v>
      </c>
      <c r="H75" t="s">
        <v>292</v>
      </c>
      <c r="I75" s="12">
        <f>online_retail_dataset[[#This Row],[Quantity]]*online_retail_dataset[[#This Row],[UnitPrice]]</f>
        <v>20.28</v>
      </c>
    </row>
    <row r="76" spans="1:9" x14ac:dyDescent="0.3">
      <c r="A76" t="s">
        <v>293</v>
      </c>
      <c r="B76" t="s">
        <v>196</v>
      </c>
      <c r="C76" t="s">
        <v>197</v>
      </c>
      <c r="D76">
        <v>8</v>
      </c>
      <c r="E76" s="1">
        <v>40521.503472222219</v>
      </c>
      <c r="F76" s="12">
        <v>14.95</v>
      </c>
      <c r="G76">
        <v>12429</v>
      </c>
      <c r="H76" t="s">
        <v>294</v>
      </c>
      <c r="I76" s="12">
        <f>online_retail_dataset[[#This Row],[Quantity]]*online_retail_dataset[[#This Row],[UnitPrice]]</f>
        <v>119.6</v>
      </c>
    </row>
    <row r="77" spans="1:9" x14ac:dyDescent="0.3">
      <c r="A77" t="s">
        <v>293</v>
      </c>
      <c r="B77" t="s">
        <v>66</v>
      </c>
      <c r="C77" t="s">
        <v>67</v>
      </c>
      <c r="D77">
        <v>48</v>
      </c>
      <c r="E77" s="1">
        <v>40521.503472222219</v>
      </c>
      <c r="F77" s="12">
        <v>3.75</v>
      </c>
      <c r="G77">
        <v>12429</v>
      </c>
      <c r="H77" t="s">
        <v>294</v>
      </c>
      <c r="I77" s="12">
        <f>online_retail_dataset[[#This Row],[Quantity]]*online_retail_dataset[[#This Row],[UnitPrice]]</f>
        <v>180</v>
      </c>
    </row>
    <row r="78" spans="1:9" x14ac:dyDescent="0.3">
      <c r="A78" t="s">
        <v>293</v>
      </c>
      <c r="B78" t="s">
        <v>228</v>
      </c>
      <c r="C78" t="s">
        <v>229</v>
      </c>
      <c r="D78">
        <v>8</v>
      </c>
      <c r="E78" s="1">
        <v>40521.503472222219</v>
      </c>
      <c r="F78" s="12">
        <v>1.65</v>
      </c>
      <c r="G78">
        <v>12429</v>
      </c>
      <c r="H78" t="s">
        <v>294</v>
      </c>
      <c r="I78" s="12">
        <f>online_retail_dataset[[#This Row],[Quantity]]*online_retail_dataset[[#This Row],[UnitPrice]]</f>
        <v>13.2</v>
      </c>
    </row>
    <row r="79" spans="1:9" x14ac:dyDescent="0.3">
      <c r="A79" t="s">
        <v>293</v>
      </c>
      <c r="B79" t="s">
        <v>234</v>
      </c>
      <c r="C79" t="s">
        <v>235</v>
      </c>
      <c r="D79">
        <v>2</v>
      </c>
      <c r="E79" s="1">
        <v>40521.503472222219</v>
      </c>
      <c r="F79" s="12">
        <v>7.95</v>
      </c>
      <c r="G79">
        <v>12429</v>
      </c>
      <c r="H79" t="s">
        <v>294</v>
      </c>
      <c r="I79" s="12">
        <f>online_retail_dataset[[#This Row],[Quantity]]*online_retail_dataset[[#This Row],[UnitPrice]]</f>
        <v>15.9</v>
      </c>
    </row>
    <row r="80" spans="1:9" x14ac:dyDescent="0.3">
      <c r="A80" t="s">
        <v>303</v>
      </c>
      <c r="B80" t="s">
        <v>9</v>
      </c>
      <c r="C80" t="s">
        <v>10</v>
      </c>
      <c r="D80">
        <v>64</v>
      </c>
      <c r="E80" s="1">
        <v>40526.540277777778</v>
      </c>
      <c r="F80" s="12">
        <v>2.5499999999999998</v>
      </c>
      <c r="G80">
        <v>12370</v>
      </c>
      <c r="H80" t="s">
        <v>304</v>
      </c>
      <c r="I80" s="12">
        <f>online_retail_dataset[[#This Row],[Quantity]]*online_retail_dataset[[#This Row],[UnitPrice]]</f>
        <v>163.19999999999999</v>
      </c>
    </row>
    <row r="81" spans="1:9" x14ac:dyDescent="0.3">
      <c r="A81" t="s">
        <v>303</v>
      </c>
      <c r="B81" t="s">
        <v>243</v>
      </c>
      <c r="C81" t="s">
        <v>244</v>
      </c>
      <c r="D81">
        <v>10</v>
      </c>
      <c r="E81" s="1">
        <v>40526.540277777778</v>
      </c>
      <c r="F81" s="12">
        <v>1.25</v>
      </c>
      <c r="G81">
        <v>12370</v>
      </c>
      <c r="H81" t="s">
        <v>304</v>
      </c>
      <c r="I81" s="12">
        <f>online_retail_dataset[[#This Row],[Quantity]]*online_retail_dataset[[#This Row],[UnitPrice]]</f>
        <v>12.5</v>
      </c>
    </row>
    <row r="82" spans="1:9" x14ac:dyDescent="0.3">
      <c r="A82" t="s">
        <v>303</v>
      </c>
      <c r="B82" t="s">
        <v>245</v>
      </c>
      <c r="C82" t="s">
        <v>246</v>
      </c>
      <c r="D82">
        <v>10</v>
      </c>
      <c r="E82" s="1">
        <v>40526.540277777778</v>
      </c>
      <c r="F82" s="12">
        <v>1.25</v>
      </c>
      <c r="G82">
        <v>12370</v>
      </c>
      <c r="H82" t="s">
        <v>304</v>
      </c>
      <c r="I82" s="12">
        <f>online_retail_dataset[[#This Row],[Quantity]]*online_retail_dataset[[#This Row],[UnitPrice]]</f>
        <v>12.5</v>
      </c>
    </row>
    <row r="83" spans="1:9" x14ac:dyDescent="0.3">
      <c r="A83" t="s">
        <v>306</v>
      </c>
      <c r="B83" t="s">
        <v>206</v>
      </c>
      <c r="C83" t="s">
        <v>207</v>
      </c>
      <c r="D83">
        <v>240</v>
      </c>
      <c r="E83" s="1">
        <v>40526.561111111114</v>
      </c>
      <c r="F83" s="12">
        <v>4.95</v>
      </c>
      <c r="G83">
        <v>17404</v>
      </c>
      <c r="H83" t="s">
        <v>305</v>
      </c>
      <c r="I83" s="12">
        <f>online_retail_dataset[[#This Row],[Quantity]]*online_retail_dataset[[#This Row],[UnitPrice]]</f>
        <v>1188</v>
      </c>
    </row>
    <row r="84" spans="1:9" x14ac:dyDescent="0.3">
      <c r="A84" t="s">
        <v>309</v>
      </c>
      <c r="B84" t="s">
        <v>104</v>
      </c>
      <c r="C84" t="s">
        <v>105</v>
      </c>
      <c r="D84">
        <v>72</v>
      </c>
      <c r="E84" s="1">
        <v>40528.79791666667</v>
      </c>
      <c r="F84" s="12">
        <v>0.55000000000000004</v>
      </c>
      <c r="G84">
        <v>12348</v>
      </c>
      <c r="H84" t="s">
        <v>310</v>
      </c>
      <c r="I84" s="12">
        <f>online_retail_dataset[[#This Row],[Quantity]]*online_retail_dataset[[#This Row],[UnitPrice]]</f>
        <v>39.6</v>
      </c>
    </row>
    <row r="85" spans="1:9" x14ac:dyDescent="0.3">
      <c r="A85" t="s">
        <v>309</v>
      </c>
      <c r="B85" t="s">
        <v>142</v>
      </c>
      <c r="C85" t="s">
        <v>143</v>
      </c>
      <c r="D85">
        <v>72</v>
      </c>
      <c r="E85" s="1">
        <v>40528.79791666667</v>
      </c>
      <c r="F85" s="12">
        <v>0.55000000000000004</v>
      </c>
      <c r="G85">
        <v>12348</v>
      </c>
      <c r="H85" t="s">
        <v>310</v>
      </c>
      <c r="I85" s="12">
        <f>online_retail_dataset[[#This Row],[Quantity]]*online_retail_dataset[[#This Row],[UnitPrice]]</f>
        <v>39.6</v>
      </c>
    </row>
    <row r="86" spans="1:9" x14ac:dyDescent="0.3">
      <c r="A86" t="s">
        <v>309</v>
      </c>
      <c r="B86" t="s">
        <v>46</v>
      </c>
      <c r="C86" t="s">
        <v>47</v>
      </c>
      <c r="D86">
        <v>24</v>
      </c>
      <c r="E86" s="1">
        <v>40528.79791666667</v>
      </c>
      <c r="F86" s="12">
        <v>0.55000000000000004</v>
      </c>
      <c r="G86">
        <v>12348</v>
      </c>
      <c r="H86" t="s">
        <v>310</v>
      </c>
      <c r="I86" s="12">
        <f>online_retail_dataset[[#This Row],[Quantity]]*online_retail_dataset[[#This Row],[UnitPrice]]</f>
        <v>13.200000000000001</v>
      </c>
    </row>
    <row r="87" spans="1:9" x14ac:dyDescent="0.3">
      <c r="A87" t="s">
        <v>309</v>
      </c>
      <c r="B87" t="s">
        <v>46</v>
      </c>
      <c r="C87" t="s">
        <v>47</v>
      </c>
      <c r="D87">
        <v>120</v>
      </c>
      <c r="E87" s="1">
        <v>40528.79791666667</v>
      </c>
      <c r="F87" s="12">
        <v>0.42</v>
      </c>
      <c r="G87">
        <v>12348</v>
      </c>
      <c r="H87" t="s">
        <v>310</v>
      </c>
      <c r="I87" s="12">
        <f>online_retail_dataset[[#This Row],[Quantity]]*online_retail_dataset[[#This Row],[UnitPrice]]</f>
        <v>50.4</v>
      </c>
    </row>
    <row r="88" spans="1:9" x14ac:dyDescent="0.3">
      <c r="A88" t="s">
        <v>309</v>
      </c>
      <c r="B88" t="s">
        <v>102</v>
      </c>
      <c r="C88" t="s">
        <v>103</v>
      </c>
      <c r="D88">
        <v>24</v>
      </c>
      <c r="E88" s="1">
        <v>40528.79791666667</v>
      </c>
      <c r="F88" s="12">
        <v>0.55000000000000004</v>
      </c>
      <c r="G88">
        <v>12348</v>
      </c>
      <c r="H88" t="s">
        <v>310</v>
      </c>
      <c r="I88" s="12">
        <f>online_retail_dataset[[#This Row],[Quantity]]*online_retail_dataset[[#This Row],[UnitPrice]]</f>
        <v>13.200000000000001</v>
      </c>
    </row>
    <row r="89" spans="1:9" x14ac:dyDescent="0.3">
      <c r="A89" t="s">
        <v>311</v>
      </c>
      <c r="B89" t="s">
        <v>198</v>
      </c>
      <c r="C89" t="s">
        <v>199</v>
      </c>
      <c r="D89">
        <v>8</v>
      </c>
      <c r="E89" s="1">
        <v>40529.401388888888</v>
      </c>
      <c r="F89" s="12">
        <v>8.5</v>
      </c>
      <c r="G89">
        <v>12370</v>
      </c>
      <c r="H89" t="s">
        <v>307</v>
      </c>
      <c r="I89" s="12">
        <f>online_retail_dataset[[#This Row],[Quantity]]*online_retail_dataset[[#This Row],[UnitPrice]]</f>
        <v>68</v>
      </c>
    </row>
    <row r="90" spans="1:9" x14ac:dyDescent="0.3">
      <c r="A90" t="s">
        <v>311</v>
      </c>
      <c r="B90" t="s">
        <v>218</v>
      </c>
      <c r="C90" t="s">
        <v>219</v>
      </c>
      <c r="D90">
        <v>8</v>
      </c>
      <c r="E90" s="1">
        <v>40529.401388888888</v>
      </c>
      <c r="F90" s="12">
        <v>1.45</v>
      </c>
      <c r="G90">
        <v>12370</v>
      </c>
      <c r="H90" t="s">
        <v>307</v>
      </c>
      <c r="I90" s="12">
        <f>online_retail_dataset[[#This Row],[Quantity]]*online_retail_dataset[[#This Row],[UnitPrice]]</f>
        <v>11.6</v>
      </c>
    </row>
    <row r="91" spans="1:9" x14ac:dyDescent="0.3">
      <c r="A91" t="s">
        <v>311</v>
      </c>
      <c r="B91" t="s">
        <v>80</v>
      </c>
      <c r="C91" t="s">
        <v>81</v>
      </c>
      <c r="D91">
        <v>12</v>
      </c>
      <c r="E91" s="1">
        <v>40529.401388888888</v>
      </c>
      <c r="F91" s="12">
        <v>0.85</v>
      </c>
      <c r="G91">
        <v>12370</v>
      </c>
      <c r="H91" t="s">
        <v>307</v>
      </c>
      <c r="I91" s="12">
        <f>online_retail_dataset[[#This Row],[Quantity]]*online_retail_dataset[[#This Row],[UnitPrice]]</f>
        <v>10.199999999999999</v>
      </c>
    </row>
    <row r="92" spans="1:9" x14ac:dyDescent="0.3">
      <c r="A92" t="s">
        <v>311</v>
      </c>
      <c r="B92" t="s">
        <v>238</v>
      </c>
      <c r="C92" t="s">
        <v>239</v>
      </c>
      <c r="D92">
        <v>4</v>
      </c>
      <c r="E92" s="1">
        <v>40529.401388888888</v>
      </c>
      <c r="F92" s="12">
        <v>4.25</v>
      </c>
      <c r="G92">
        <v>12370</v>
      </c>
      <c r="H92" t="s">
        <v>307</v>
      </c>
      <c r="I92" s="12">
        <f>online_retail_dataset[[#This Row],[Quantity]]*online_retail_dataset[[#This Row],[UnitPrice]]</f>
        <v>17</v>
      </c>
    </row>
    <row r="93" spans="1:9" x14ac:dyDescent="0.3">
      <c r="A93" t="s">
        <v>311</v>
      </c>
      <c r="B93" t="s">
        <v>146</v>
      </c>
      <c r="C93" t="s">
        <v>147</v>
      </c>
      <c r="D93">
        <v>4</v>
      </c>
      <c r="E93" s="1">
        <v>40529.401388888888</v>
      </c>
      <c r="F93" s="12">
        <v>3.75</v>
      </c>
      <c r="G93">
        <v>12370</v>
      </c>
      <c r="H93" t="s">
        <v>307</v>
      </c>
      <c r="I93" s="12">
        <f>online_retail_dataset[[#This Row],[Quantity]]*online_retail_dataset[[#This Row],[UnitPrice]]</f>
        <v>15</v>
      </c>
    </row>
    <row r="94" spans="1:9" x14ac:dyDescent="0.3">
      <c r="A94" t="s">
        <v>311</v>
      </c>
      <c r="B94" t="s">
        <v>220</v>
      </c>
      <c r="C94" t="s">
        <v>221</v>
      </c>
      <c r="D94">
        <v>6</v>
      </c>
      <c r="E94" s="1">
        <v>40529.401388888888</v>
      </c>
      <c r="F94" s="12">
        <v>2.95</v>
      </c>
      <c r="G94">
        <v>12370</v>
      </c>
      <c r="H94" t="s">
        <v>307</v>
      </c>
      <c r="I94" s="12">
        <f>online_retail_dataset[[#This Row],[Quantity]]*online_retail_dataset[[#This Row],[UnitPrice]]</f>
        <v>17.700000000000003</v>
      </c>
    </row>
    <row r="95" spans="1:9" x14ac:dyDescent="0.3">
      <c r="A95" t="s">
        <v>312</v>
      </c>
      <c r="B95" t="s">
        <v>236</v>
      </c>
      <c r="C95" t="s">
        <v>237</v>
      </c>
      <c r="D95">
        <v>576</v>
      </c>
      <c r="E95" s="1">
        <v>40529.45416666667</v>
      </c>
      <c r="F95" s="12">
        <v>0.28999999999999998</v>
      </c>
      <c r="G95">
        <v>17404</v>
      </c>
      <c r="H95" t="s">
        <v>305</v>
      </c>
      <c r="I95" s="12">
        <f>online_retail_dataset[[#This Row],[Quantity]]*online_retail_dataset[[#This Row],[UnitPrice]]</f>
        <v>167.04</v>
      </c>
    </row>
    <row r="96" spans="1:9" x14ac:dyDescent="0.3">
      <c r="A96" t="s">
        <v>312</v>
      </c>
      <c r="B96" t="s">
        <v>142</v>
      </c>
      <c r="C96" t="s">
        <v>143</v>
      </c>
      <c r="D96">
        <v>240</v>
      </c>
      <c r="E96" s="1">
        <v>40529.45416666667</v>
      </c>
      <c r="F96" s="12">
        <v>0.55000000000000004</v>
      </c>
      <c r="G96">
        <v>17404</v>
      </c>
      <c r="H96" t="s">
        <v>305</v>
      </c>
      <c r="I96" s="12">
        <f>online_retail_dataset[[#This Row],[Quantity]]*online_retail_dataset[[#This Row],[UnitPrice]]</f>
        <v>132</v>
      </c>
    </row>
    <row r="97" spans="1:9" x14ac:dyDescent="0.3">
      <c r="A97" t="s">
        <v>313</v>
      </c>
      <c r="B97" t="s">
        <v>174</v>
      </c>
      <c r="C97" t="s">
        <v>175</v>
      </c>
      <c r="D97">
        <v>12</v>
      </c>
      <c r="E97" s="1">
        <v>40532.42291666667</v>
      </c>
      <c r="F97" s="12">
        <v>0.28999999999999998</v>
      </c>
      <c r="G97">
        <v>14646</v>
      </c>
      <c r="H97" t="s">
        <v>99</v>
      </c>
      <c r="I97" s="12">
        <f>online_retail_dataset[[#This Row],[Quantity]]*online_retail_dataset[[#This Row],[UnitPrice]]</f>
        <v>3.4799999999999995</v>
      </c>
    </row>
    <row r="98" spans="1:9" x14ac:dyDescent="0.3">
      <c r="A98" t="s">
        <v>313</v>
      </c>
      <c r="B98" t="s">
        <v>136</v>
      </c>
      <c r="C98" t="s">
        <v>137</v>
      </c>
      <c r="D98">
        <v>12</v>
      </c>
      <c r="E98" s="1">
        <v>40532.42291666667</v>
      </c>
      <c r="F98" s="12">
        <v>0.28999999999999998</v>
      </c>
      <c r="G98">
        <v>14646</v>
      </c>
      <c r="H98" t="s">
        <v>99</v>
      </c>
      <c r="I98" s="12">
        <f>online_retail_dataset[[#This Row],[Quantity]]*online_retail_dataset[[#This Row],[UnitPrice]]</f>
        <v>3.4799999999999995</v>
      </c>
    </row>
    <row r="99" spans="1:9" x14ac:dyDescent="0.3">
      <c r="A99" t="s">
        <v>314</v>
      </c>
      <c r="B99" t="s">
        <v>260</v>
      </c>
      <c r="C99" t="s">
        <v>261</v>
      </c>
      <c r="D99">
        <v>54</v>
      </c>
      <c r="E99" s="1">
        <v>40532.459722222222</v>
      </c>
      <c r="F99" s="12">
        <v>3.81</v>
      </c>
      <c r="G99">
        <v>12355</v>
      </c>
      <c r="H99" t="s">
        <v>315</v>
      </c>
      <c r="I99" s="12">
        <f>online_retail_dataset[[#This Row],[Quantity]]*online_retail_dataset[[#This Row],[UnitPrice]]</f>
        <v>205.74</v>
      </c>
    </row>
    <row r="100" spans="1:9" x14ac:dyDescent="0.3">
      <c r="A100" t="s">
        <v>318</v>
      </c>
      <c r="B100" t="s">
        <v>156</v>
      </c>
      <c r="C100" t="s">
        <v>157</v>
      </c>
      <c r="D100">
        <v>24</v>
      </c>
      <c r="E100" s="1">
        <v>40567.48541666667</v>
      </c>
      <c r="F100" s="12">
        <v>2.5499999999999998</v>
      </c>
      <c r="G100">
        <v>14439</v>
      </c>
      <c r="H100" t="s">
        <v>319</v>
      </c>
      <c r="I100" s="12">
        <f>online_retail_dataset[[#This Row],[Quantity]]*online_retail_dataset[[#This Row],[UnitPrice]]</f>
        <v>61.199999999999996</v>
      </c>
    </row>
    <row r="101" spans="1:9" x14ac:dyDescent="0.3">
      <c r="A101" t="s">
        <v>318</v>
      </c>
      <c r="B101" t="s">
        <v>158</v>
      </c>
      <c r="C101" t="s">
        <v>159</v>
      </c>
      <c r="D101">
        <v>24</v>
      </c>
      <c r="E101" s="1">
        <v>40567.48541666667</v>
      </c>
      <c r="F101" s="12">
        <v>2.5499999999999998</v>
      </c>
      <c r="G101">
        <v>14439</v>
      </c>
      <c r="H101" t="s">
        <v>319</v>
      </c>
      <c r="I101" s="12">
        <f>online_retail_dataset[[#This Row],[Quantity]]*online_retail_dataset[[#This Row],[UnitPrice]]</f>
        <v>61.199999999999996</v>
      </c>
    </row>
    <row r="102" spans="1:9" x14ac:dyDescent="0.3">
      <c r="A102" t="s">
        <v>318</v>
      </c>
      <c r="B102" t="s">
        <v>316</v>
      </c>
      <c r="C102" t="s">
        <v>317</v>
      </c>
      <c r="D102">
        <v>24</v>
      </c>
      <c r="E102" s="1">
        <v>40567.48541666667</v>
      </c>
      <c r="F102" s="12">
        <v>2.95</v>
      </c>
      <c r="G102">
        <v>14439</v>
      </c>
      <c r="H102" t="s">
        <v>319</v>
      </c>
      <c r="I102" s="12">
        <f>online_retail_dataset[[#This Row],[Quantity]]*online_retail_dataset[[#This Row],[UnitPrice]]</f>
        <v>70.800000000000011</v>
      </c>
    </row>
    <row r="103" spans="1:9" x14ac:dyDescent="0.3">
      <c r="A103" t="s">
        <v>320</v>
      </c>
      <c r="B103" t="s">
        <v>124</v>
      </c>
      <c r="C103" t="s">
        <v>125</v>
      </c>
      <c r="D103">
        <v>60</v>
      </c>
      <c r="E103" s="1">
        <v>40567.599999999999</v>
      </c>
      <c r="F103" s="12">
        <v>1.25</v>
      </c>
      <c r="G103">
        <v>12377</v>
      </c>
      <c r="H103" t="s">
        <v>321</v>
      </c>
      <c r="I103" s="12">
        <f>online_retail_dataset[[#This Row],[Quantity]]*online_retail_dataset[[#This Row],[UnitPrice]]</f>
        <v>75</v>
      </c>
    </row>
    <row r="104" spans="1:9" x14ac:dyDescent="0.3">
      <c r="A104" t="s">
        <v>320</v>
      </c>
      <c r="B104" t="s">
        <v>48</v>
      </c>
      <c r="C104" t="s">
        <v>49</v>
      </c>
      <c r="D104">
        <v>6</v>
      </c>
      <c r="E104" s="1">
        <v>40567.599999999999</v>
      </c>
      <c r="F104" s="12">
        <v>3.75</v>
      </c>
      <c r="G104">
        <v>12377</v>
      </c>
      <c r="H104" t="s">
        <v>321</v>
      </c>
      <c r="I104" s="12">
        <f>online_retail_dataset[[#This Row],[Quantity]]*online_retail_dataset[[#This Row],[UnitPrice]]</f>
        <v>22.5</v>
      </c>
    </row>
    <row r="105" spans="1:9" x14ac:dyDescent="0.3">
      <c r="A105" t="s">
        <v>320</v>
      </c>
      <c r="B105" t="s">
        <v>297</v>
      </c>
      <c r="C105" t="s">
        <v>298</v>
      </c>
      <c r="D105">
        <v>6</v>
      </c>
      <c r="E105" s="1">
        <v>40567.599999999999</v>
      </c>
      <c r="F105" s="12">
        <v>3.75</v>
      </c>
      <c r="G105">
        <v>12377</v>
      </c>
      <c r="H105" t="s">
        <v>321</v>
      </c>
      <c r="I105" s="12">
        <f>online_retail_dataset[[#This Row],[Quantity]]*online_retail_dataset[[#This Row],[UnitPrice]]</f>
        <v>22.5</v>
      </c>
    </row>
    <row r="106" spans="1:9" x14ac:dyDescent="0.3">
      <c r="A106" t="s">
        <v>322</v>
      </c>
      <c r="B106" t="s">
        <v>166</v>
      </c>
      <c r="C106" t="s">
        <v>167</v>
      </c>
      <c r="D106">
        <v>72</v>
      </c>
      <c r="E106" s="1">
        <v>40568.55972222222</v>
      </c>
      <c r="F106" s="12">
        <v>0.36</v>
      </c>
      <c r="G106">
        <v>12744</v>
      </c>
      <c r="H106" t="s">
        <v>323</v>
      </c>
      <c r="I106" s="12">
        <f>online_retail_dataset[[#This Row],[Quantity]]*online_retail_dataset[[#This Row],[UnitPrice]]</f>
        <v>25.919999999999998</v>
      </c>
    </row>
    <row r="107" spans="1:9" x14ac:dyDescent="0.3">
      <c r="A107" t="s">
        <v>322</v>
      </c>
      <c r="B107" t="s">
        <v>158</v>
      </c>
      <c r="C107" t="s">
        <v>159</v>
      </c>
      <c r="D107">
        <v>6</v>
      </c>
      <c r="E107" s="1">
        <v>40568.55972222222</v>
      </c>
      <c r="F107" s="12">
        <v>2.95</v>
      </c>
      <c r="G107">
        <v>12744</v>
      </c>
      <c r="H107" t="s">
        <v>323</v>
      </c>
      <c r="I107" s="12">
        <f>online_retail_dataset[[#This Row],[Quantity]]*online_retail_dataset[[#This Row],[UnitPrice]]</f>
        <v>17.700000000000003</v>
      </c>
    </row>
    <row r="108" spans="1:9" x14ac:dyDescent="0.3">
      <c r="A108" t="s">
        <v>324</v>
      </c>
      <c r="B108" t="s">
        <v>202</v>
      </c>
      <c r="C108" t="s">
        <v>203</v>
      </c>
      <c r="D108">
        <v>12</v>
      </c>
      <c r="E108" s="1">
        <v>40570.429861111108</v>
      </c>
      <c r="F108" s="12">
        <v>1.45</v>
      </c>
      <c r="G108">
        <v>12764</v>
      </c>
      <c r="H108" t="s">
        <v>325</v>
      </c>
      <c r="I108" s="12">
        <f>online_retail_dataset[[#This Row],[Quantity]]*online_retail_dataset[[#This Row],[UnitPrice]]</f>
        <v>17.399999999999999</v>
      </c>
    </row>
    <row r="109" spans="1:9" x14ac:dyDescent="0.3">
      <c r="A109" t="s">
        <v>324</v>
      </c>
      <c r="B109" t="s">
        <v>210</v>
      </c>
      <c r="C109" t="s">
        <v>211</v>
      </c>
      <c r="D109">
        <v>12</v>
      </c>
      <c r="E109" s="1">
        <v>40570.429861111108</v>
      </c>
      <c r="F109" s="12">
        <v>1.69</v>
      </c>
      <c r="G109">
        <v>12764</v>
      </c>
      <c r="H109" t="s">
        <v>325</v>
      </c>
      <c r="I109" s="12">
        <f>online_retail_dataset[[#This Row],[Quantity]]*online_retail_dataset[[#This Row],[UnitPrice]]</f>
        <v>20.28</v>
      </c>
    </row>
    <row r="110" spans="1:9" x14ac:dyDescent="0.3">
      <c r="A110" t="s">
        <v>324</v>
      </c>
      <c r="B110" t="s">
        <v>178</v>
      </c>
      <c r="C110" t="s">
        <v>179</v>
      </c>
      <c r="D110">
        <v>12</v>
      </c>
      <c r="E110" s="1">
        <v>40570.429861111108</v>
      </c>
      <c r="F110" s="12">
        <v>2.1</v>
      </c>
      <c r="G110">
        <v>12764</v>
      </c>
      <c r="H110" t="s">
        <v>325</v>
      </c>
      <c r="I110" s="12">
        <f>online_retail_dataset[[#This Row],[Quantity]]*online_retail_dataset[[#This Row],[UnitPrice]]</f>
        <v>25.200000000000003</v>
      </c>
    </row>
    <row r="111" spans="1:9" x14ac:dyDescent="0.3">
      <c r="A111" t="s">
        <v>326</v>
      </c>
      <c r="B111" t="s">
        <v>84</v>
      </c>
      <c r="C111" t="s">
        <v>85</v>
      </c>
      <c r="D111">
        <v>6</v>
      </c>
      <c r="E111" s="1">
        <v>40588.531944444447</v>
      </c>
      <c r="F111" s="12">
        <v>4.95</v>
      </c>
      <c r="G111">
        <v>17829</v>
      </c>
      <c r="H111" t="s">
        <v>327</v>
      </c>
      <c r="I111" s="12">
        <f>online_retail_dataset[[#This Row],[Quantity]]*online_retail_dataset[[#This Row],[UnitPrice]]</f>
        <v>29.700000000000003</v>
      </c>
    </row>
    <row r="112" spans="1:9" x14ac:dyDescent="0.3">
      <c r="A112" t="s">
        <v>326</v>
      </c>
      <c r="B112" t="s">
        <v>182</v>
      </c>
      <c r="C112" t="s">
        <v>183</v>
      </c>
      <c r="D112">
        <v>2</v>
      </c>
      <c r="E112" s="1">
        <v>40588.531944444447</v>
      </c>
      <c r="F112" s="12">
        <v>7.95</v>
      </c>
      <c r="G112">
        <v>17829</v>
      </c>
      <c r="H112" t="s">
        <v>327</v>
      </c>
      <c r="I112" s="12">
        <f>online_retail_dataset[[#This Row],[Quantity]]*online_retail_dataset[[#This Row],[UnitPrice]]</f>
        <v>15.9</v>
      </c>
    </row>
    <row r="113" spans="1:9" x14ac:dyDescent="0.3">
      <c r="A113" t="s">
        <v>326</v>
      </c>
      <c r="B113" t="s">
        <v>92</v>
      </c>
      <c r="C113" t="s">
        <v>93</v>
      </c>
      <c r="D113">
        <v>24</v>
      </c>
      <c r="E113" s="1">
        <v>40588.531944444447</v>
      </c>
      <c r="F113" s="12">
        <v>2.5499999999999998</v>
      </c>
      <c r="G113">
        <v>17829</v>
      </c>
      <c r="H113" t="s">
        <v>327</v>
      </c>
      <c r="I113" s="12">
        <f>online_retail_dataset[[#This Row],[Quantity]]*online_retail_dataset[[#This Row],[UnitPrice]]</f>
        <v>61.199999999999996</v>
      </c>
    </row>
    <row r="114" spans="1:9" x14ac:dyDescent="0.3">
      <c r="A114" t="s">
        <v>326</v>
      </c>
      <c r="B114" t="s">
        <v>148</v>
      </c>
      <c r="C114" t="s">
        <v>149</v>
      </c>
      <c r="D114">
        <v>24</v>
      </c>
      <c r="E114" s="1">
        <v>40588.531944444447</v>
      </c>
      <c r="F114" s="12">
        <v>1.45</v>
      </c>
      <c r="G114">
        <v>17829</v>
      </c>
      <c r="H114" t="s">
        <v>327</v>
      </c>
      <c r="I114" s="12">
        <f>online_retail_dataset[[#This Row],[Quantity]]*online_retail_dataset[[#This Row],[UnitPrice]]</f>
        <v>34.799999999999997</v>
      </c>
    </row>
    <row r="115" spans="1:9" x14ac:dyDescent="0.3">
      <c r="A115" t="s">
        <v>326</v>
      </c>
      <c r="B115" t="s">
        <v>202</v>
      </c>
      <c r="C115" t="s">
        <v>203</v>
      </c>
      <c r="D115">
        <v>12</v>
      </c>
      <c r="E115" s="1">
        <v>40588.531944444447</v>
      </c>
      <c r="F115" s="12">
        <v>1.45</v>
      </c>
      <c r="G115">
        <v>17829</v>
      </c>
      <c r="H115" t="s">
        <v>327</v>
      </c>
      <c r="I115" s="12">
        <f>online_retail_dataset[[#This Row],[Quantity]]*online_retail_dataset[[#This Row],[UnitPrice]]</f>
        <v>17.399999999999999</v>
      </c>
    </row>
    <row r="116" spans="1:9" x14ac:dyDescent="0.3">
      <c r="A116" t="s">
        <v>328</v>
      </c>
      <c r="B116" t="s">
        <v>216</v>
      </c>
      <c r="C116" t="s">
        <v>217</v>
      </c>
      <c r="D116">
        <v>24</v>
      </c>
      <c r="E116" s="1">
        <v>40590.453472222223</v>
      </c>
      <c r="F116" s="12">
        <v>0.85</v>
      </c>
      <c r="G116">
        <v>12653</v>
      </c>
      <c r="H116" t="s">
        <v>308</v>
      </c>
      <c r="I116" s="12">
        <f>online_retail_dataset[[#This Row],[Quantity]]*online_retail_dataset[[#This Row],[UnitPrice]]</f>
        <v>20.399999999999999</v>
      </c>
    </row>
    <row r="117" spans="1:9" x14ac:dyDescent="0.3">
      <c r="A117" t="s">
        <v>328</v>
      </c>
      <c r="B117" t="s">
        <v>164</v>
      </c>
      <c r="C117" t="s">
        <v>165</v>
      </c>
      <c r="D117">
        <v>12</v>
      </c>
      <c r="E117" s="1">
        <v>40590.453472222223</v>
      </c>
      <c r="F117" s="12">
        <v>1.95</v>
      </c>
      <c r="G117">
        <v>12653</v>
      </c>
      <c r="H117" t="s">
        <v>308</v>
      </c>
      <c r="I117" s="12">
        <f>online_retail_dataset[[#This Row],[Quantity]]*online_retail_dataset[[#This Row],[UnitPrice]]</f>
        <v>23.4</v>
      </c>
    </row>
    <row r="118" spans="1:9" x14ac:dyDescent="0.3">
      <c r="A118" t="s">
        <v>329</v>
      </c>
      <c r="B118" t="s">
        <v>68</v>
      </c>
      <c r="C118" t="s">
        <v>69</v>
      </c>
      <c r="D118">
        <v>12</v>
      </c>
      <c r="E118" s="1">
        <v>40598.44027777778</v>
      </c>
      <c r="F118" s="12">
        <v>0.42</v>
      </c>
      <c r="G118">
        <v>12565</v>
      </c>
      <c r="H118" t="s">
        <v>330</v>
      </c>
      <c r="I118" s="12">
        <f>online_retail_dataset[[#This Row],[Quantity]]*online_retail_dataset[[#This Row],[UnitPrice]]</f>
        <v>5.04</v>
      </c>
    </row>
    <row r="119" spans="1:9" x14ac:dyDescent="0.3">
      <c r="A119" t="s">
        <v>331</v>
      </c>
      <c r="B119" t="s">
        <v>287</v>
      </c>
      <c r="C119" t="s">
        <v>288</v>
      </c>
      <c r="D119">
        <v>18</v>
      </c>
      <c r="E119" s="1">
        <v>40602.363194444442</v>
      </c>
      <c r="F119" s="12">
        <v>2.5499999999999998</v>
      </c>
      <c r="G119">
        <v>12781</v>
      </c>
      <c r="H119" t="s">
        <v>332</v>
      </c>
      <c r="I119" s="12">
        <f>online_retail_dataset[[#This Row],[Quantity]]*online_retail_dataset[[#This Row],[UnitPrice]]</f>
        <v>45.9</v>
      </c>
    </row>
    <row r="120" spans="1:9" x14ac:dyDescent="0.3">
      <c r="A120" t="s">
        <v>331</v>
      </c>
      <c r="B120" t="s">
        <v>62</v>
      </c>
      <c r="C120" t="s">
        <v>63</v>
      </c>
      <c r="D120">
        <v>48</v>
      </c>
      <c r="E120" s="1">
        <v>40602.363194444442</v>
      </c>
      <c r="F120" s="12">
        <v>0.65</v>
      </c>
      <c r="G120">
        <v>12781</v>
      </c>
      <c r="H120" t="s">
        <v>332</v>
      </c>
      <c r="I120" s="12">
        <f>online_retail_dataset[[#This Row],[Quantity]]*online_retail_dataset[[#This Row],[UnitPrice]]</f>
        <v>31.200000000000003</v>
      </c>
    </row>
    <row r="121" spans="1:9" x14ac:dyDescent="0.3">
      <c r="A121" t="s">
        <v>331</v>
      </c>
      <c r="B121" t="s">
        <v>254</v>
      </c>
      <c r="C121" t="s">
        <v>255</v>
      </c>
      <c r="D121">
        <v>24</v>
      </c>
      <c r="E121" s="1">
        <v>40602.363194444442</v>
      </c>
      <c r="F121" s="12">
        <v>0.85</v>
      </c>
      <c r="G121">
        <v>12781</v>
      </c>
      <c r="H121" t="s">
        <v>332</v>
      </c>
      <c r="I121" s="12">
        <f>online_retail_dataset[[#This Row],[Quantity]]*online_retail_dataset[[#This Row],[UnitPrice]]</f>
        <v>20.399999999999999</v>
      </c>
    </row>
    <row r="122" spans="1:9" x14ac:dyDescent="0.3">
      <c r="A122" t="s">
        <v>335</v>
      </c>
      <c r="B122" t="s">
        <v>250</v>
      </c>
      <c r="C122" t="s">
        <v>251</v>
      </c>
      <c r="D122">
        <v>12</v>
      </c>
      <c r="E122" s="1">
        <v>40616.578472222223</v>
      </c>
      <c r="F122" s="12">
        <v>1.95</v>
      </c>
      <c r="G122">
        <v>15388</v>
      </c>
      <c r="H122" t="s">
        <v>336</v>
      </c>
      <c r="I122" s="12">
        <f>online_retail_dataset[[#This Row],[Quantity]]*online_retail_dataset[[#This Row],[UnitPrice]]</f>
        <v>23.4</v>
      </c>
    </row>
    <row r="123" spans="1:9" x14ac:dyDescent="0.3">
      <c r="A123" t="s">
        <v>335</v>
      </c>
      <c r="B123" t="s">
        <v>200</v>
      </c>
      <c r="C123" t="s">
        <v>201</v>
      </c>
      <c r="D123">
        <v>6</v>
      </c>
      <c r="E123" s="1">
        <v>40616.578472222223</v>
      </c>
      <c r="F123" s="12">
        <v>1.65</v>
      </c>
      <c r="G123">
        <v>15388</v>
      </c>
      <c r="H123" t="s">
        <v>336</v>
      </c>
      <c r="I123" s="12">
        <f>online_retail_dataset[[#This Row],[Quantity]]*online_retail_dataset[[#This Row],[UnitPrice]]</f>
        <v>9.8999999999999986</v>
      </c>
    </row>
    <row r="124" spans="1:9" x14ac:dyDescent="0.3">
      <c r="A124" t="s">
        <v>335</v>
      </c>
      <c r="B124" t="s">
        <v>295</v>
      </c>
      <c r="C124" t="s">
        <v>296</v>
      </c>
      <c r="D124">
        <v>4</v>
      </c>
      <c r="E124" s="1">
        <v>40616.578472222223</v>
      </c>
      <c r="F124" s="12">
        <v>4.25</v>
      </c>
      <c r="G124">
        <v>15388</v>
      </c>
      <c r="H124" t="s">
        <v>336</v>
      </c>
      <c r="I124" s="12">
        <f>online_retail_dataset[[#This Row],[Quantity]]*online_retail_dataset[[#This Row],[UnitPrice]]</f>
        <v>17</v>
      </c>
    </row>
    <row r="125" spans="1:9" x14ac:dyDescent="0.3">
      <c r="A125" t="s">
        <v>335</v>
      </c>
      <c r="B125" t="s">
        <v>18</v>
      </c>
      <c r="C125" t="s">
        <v>19</v>
      </c>
      <c r="D125">
        <v>8</v>
      </c>
      <c r="E125" s="1">
        <v>40616.578472222223</v>
      </c>
      <c r="F125" s="12">
        <v>1.69</v>
      </c>
      <c r="G125">
        <v>15388</v>
      </c>
      <c r="H125" t="s">
        <v>336</v>
      </c>
      <c r="I125" s="12">
        <f>online_retail_dataset[[#This Row],[Quantity]]*online_retail_dataset[[#This Row],[UnitPrice]]</f>
        <v>13.52</v>
      </c>
    </row>
    <row r="126" spans="1:9" x14ac:dyDescent="0.3">
      <c r="A126" t="s">
        <v>337</v>
      </c>
      <c r="B126" t="s">
        <v>118</v>
      </c>
      <c r="C126" t="s">
        <v>119</v>
      </c>
      <c r="D126">
        <v>2</v>
      </c>
      <c r="E126" s="1">
        <v>40644.561805555553</v>
      </c>
      <c r="F126" s="12">
        <v>7.95</v>
      </c>
      <c r="G126">
        <v>12363</v>
      </c>
      <c r="H126" t="s">
        <v>338</v>
      </c>
      <c r="I126" s="12">
        <f>online_retail_dataset[[#This Row],[Quantity]]*online_retail_dataset[[#This Row],[UnitPrice]]</f>
        <v>15.9</v>
      </c>
    </row>
    <row r="127" spans="1:9" x14ac:dyDescent="0.3">
      <c r="A127" t="s">
        <v>337</v>
      </c>
      <c r="B127" t="s">
        <v>280</v>
      </c>
      <c r="C127" t="s">
        <v>281</v>
      </c>
      <c r="D127">
        <v>2</v>
      </c>
      <c r="E127" s="1">
        <v>40644.561805555553</v>
      </c>
      <c r="F127" s="12">
        <v>7.95</v>
      </c>
      <c r="G127">
        <v>12363</v>
      </c>
      <c r="H127" t="s">
        <v>338</v>
      </c>
      <c r="I127" s="12">
        <f>online_retail_dataset[[#This Row],[Quantity]]*online_retail_dataset[[#This Row],[UnitPrice]]</f>
        <v>15.9</v>
      </c>
    </row>
    <row r="128" spans="1:9" x14ac:dyDescent="0.3">
      <c r="A128" t="s">
        <v>337</v>
      </c>
      <c r="B128" t="s">
        <v>289</v>
      </c>
      <c r="C128" t="s">
        <v>290</v>
      </c>
      <c r="D128">
        <v>2</v>
      </c>
      <c r="E128" s="1">
        <v>40644.561805555553</v>
      </c>
      <c r="F128" s="12">
        <v>7.95</v>
      </c>
      <c r="G128">
        <v>12363</v>
      </c>
      <c r="H128" t="s">
        <v>338</v>
      </c>
      <c r="I128" s="12">
        <f>online_retail_dataset[[#This Row],[Quantity]]*online_retail_dataset[[#This Row],[UnitPrice]]</f>
        <v>15.9</v>
      </c>
    </row>
    <row r="129" spans="1:9" x14ac:dyDescent="0.3">
      <c r="A129" t="s">
        <v>337</v>
      </c>
      <c r="B129" t="s">
        <v>102</v>
      </c>
      <c r="C129" t="s">
        <v>103</v>
      </c>
      <c r="D129">
        <v>24</v>
      </c>
      <c r="E129" s="1">
        <v>40644.561805555553</v>
      </c>
      <c r="F129" s="12">
        <v>0.55000000000000004</v>
      </c>
      <c r="G129">
        <v>12363</v>
      </c>
      <c r="H129" t="s">
        <v>338</v>
      </c>
      <c r="I129" s="12">
        <f>online_retail_dataset[[#This Row],[Quantity]]*online_retail_dataset[[#This Row],[UnitPrice]]</f>
        <v>13.200000000000001</v>
      </c>
    </row>
    <row r="130" spans="1:9" x14ac:dyDescent="0.3">
      <c r="A130" t="s">
        <v>337</v>
      </c>
      <c r="B130" t="s">
        <v>44</v>
      </c>
      <c r="C130" t="s">
        <v>45</v>
      </c>
      <c r="D130">
        <v>24</v>
      </c>
      <c r="E130" s="1">
        <v>40644.561805555553</v>
      </c>
      <c r="F130" s="12">
        <v>0.55000000000000004</v>
      </c>
      <c r="G130">
        <v>12363</v>
      </c>
      <c r="H130" t="s">
        <v>338</v>
      </c>
      <c r="I130" s="12">
        <f>online_retail_dataset[[#This Row],[Quantity]]*online_retail_dataset[[#This Row],[UnitPrice]]</f>
        <v>13.200000000000001</v>
      </c>
    </row>
    <row r="131" spans="1:9" x14ac:dyDescent="0.3">
      <c r="A131" t="s">
        <v>339</v>
      </c>
      <c r="B131" t="s">
        <v>152</v>
      </c>
      <c r="C131" t="s">
        <v>153</v>
      </c>
      <c r="D131">
        <v>16</v>
      </c>
      <c r="E131" s="1">
        <v>40648.434027777781</v>
      </c>
      <c r="F131" s="12">
        <v>10.95</v>
      </c>
      <c r="G131">
        <v>12769</v>
      </c>
      <c r="H131" t="s">
        <v>340</v>
      </c>
      <c r="I131" s="12">
        <f>online_retail_dataset[[#This Row],[Quantity]]*online_retail_dataset[[#This Row],[UnitPrice]]</f>
        <v>175.2</v>
      </c>
    </row>
    <row r="132" spans="1:9" x14ac:dyDescent="0.3">
      <c r="A132" t="s">
        <v>339</v>
      </c>
      <c r="B132" t="s">
        <v>156</v>
      </c>
      <c r="C132" t="s">
        <v>157</v>
      </c>
      <c r="D132">
        <v>24</v>
      </c>
      <c r="E132" s="1">
        <v>40648.434027777781</v>
      </c>
      <c r="F132" s="12">
        <v>2.5499999999999998</v>
      </c>
      <c r="G132">
        <v>12769</v>
      </c>
      <c r="H132" t="s">
        <v>340</v>
      </c>
      <c r="I132" s="12">
        <f>online_retail_dataset[[#This Row],[Quantity]]*online_retail_dataset[[#This Row],[UnitPrice]]</f>
        <v>61.199999999999996</v>
      </c>
    </row>
    <row r="133" spans="1:9" x14ac:dyDescent="0.3">
      <c r="A133" t="s">
        <v>341</v>
      </c>
      <c r="B133" t="s">
        <v>299</v>
      </c>
      <c r="C133" t="s">
        <v>300</v>
      </c>
      <c r="D133">
        <v>7</v>
      </c>
      <c r="E133" s="1">
        <v>40652.679861111108</v>
      </c>
      <c r="F133" s="12">
        <v>3.95</v>
      </c>
      <c r="G133">
        <v>12733</v>
      </c>
      <c r="H133" t="s">
        <v>342</v>
      </c>
      <c r="I133" s="12">
        <f>online_retail_dataset[[#This Row],[Quantity]]*online_retail_dataset[[#This Row],[UnitPrice]]</f>
        <v>27.650000000000002</v>
      </c>
    </row>
    <row r="134" spans="1:9" x14ac:dyDescent="0.3">
      <c r="A134" t="s">
        <v>341</v>
      </c>
      <c r="B134" t="s">
        <v>333</v>
      </c>
      <c r="C134" t="s">
        <v>334</v>
      </c>
      <c r="D134">
        <v>2</v>
      </c>
      <c r="E134" s="1">
        <v>40652.679861111108</v>
      </c>
      <c r="F134" s="12">
        <v>1.45</v>
      </c>
      <c r="G134">
        <v>12733</v>
      </c>
      <c r="H134" t="s">
        <v>342</v>
      </c>
      <c r="I134" s="12">
        <f>online_retail_dataset[[#This Row],[Quantity]]*online_retail_dataset[[#This Row],[UnitPrice]]</f>
        <v>2.9</v>
      </c>
    </row>
    <row r="135" spans="1:9" x14ac:dyDescent="0.3">
      <c r="A135" t="s">
        <v>341</v>
      </c>
      <c r="B135" t="s">
        <v>252</v>
      </c>
      <c r="C135" t="s">
        <v>253</v>
      </c>
      <c r="D135">
        <v>3</v>
      </c>
      <c r="E135" s="1">
        <v>40652.679861111108</v>
      </c>
      <c r="F135" s="12">
        <v>1.45</v>
      </c>
      <c r="G135">
        <v>12733</v>
      </c>
      <c r="H135" t="s">
        <v>342</v>
      </c>
      <c r="I135" s="12">
        <f>online_retail_dataset[[#This Row],[Quantity]]*online_retail_dataset[[#This Row],[UnitPrice]]</f>
        <v>4.3499999999999996</v>
      </c>
    </row>
    <row r="136" spans="1:9" x14ac:dyDescent="0.3">
      <c r="A136" t="s">
        <v>341</v>
      </c>
      <c r="B136" t="s">
        <v>301</v>
      </c>
      <c r="C136" t="s">
        <v>302</v>
      </c>
      <c r="D136">
        <v>1</v>
      </c>
      <c r="E136" s="1">
        <v>40652.679861111108</v>
      </c>
      <c r="F136" s="12">
        <v>4.95</v>
      </c>
      <c r="G136">
        <v>12733</v>
      </c>
      <c r="H136" t="s">
        <v>342</v>
      </c>
      <c r="I136" s="12">
        <f>online_retail_dataset[[#This Row],[Quantity]]*online_retail_dataset[[#This Row],[UnitPrice]]</f>
        <v>4.95</v>
      </c>
    </row>
    <row r="137" spans="1:9" x14ac:dyDescent="0.3">
      <c r="A137" t="s">
        <v>343</v>
      </c>
      <c r="B137" t="s">
        <v>58</v>
      </c>
      <c r="C137" t="s">
        <v>59</v>
      </c>
      <c r="D137">
        <v>1</v>
      </c>
      <c r="E137" s="1">
        <v>40659.45416666667</v>
      </c>
      <c r="F137" s="12">
        <v>14.95</v>
      </c>
      <c r="G137">
        <v>15108</v>
      </c>
      <c r="H137" t="s">
        <v>344</v>
      </c>
      <c r="I137" s="12">
        <f>online_retail_dataset[[#This Row],[Quantity]]*online_retail_dataset[[#This Row],[UnitPrice]]</f>
        <v>14.95</v>
      </c>
    </row>
    <row r="138" spans="1:9" x14ac:dyDescent="0.3">
      <c r="A138" t="s">
        <v>343</v>
      </c>
      <c r="B138" t="s">
        <v>240</v>
      </c>
      <c r="C138" t="s">
        <v>241</v>
      </c>
      <c r="D138">
        <v>2</v>
      </c>
      <c r="E138" s="1">
        <v>40659.45416666667</v>
      </c>
      <c r="F138" s="12">
        <v>7.95</v>
      </c>
      <c r="G138">
        <v>15108</v>
      </c>
      <c r="H138" t="s">
        <v>344</v>
      </c>
      <c r="I138" s="12">
        <f>online_retail_dataset[[#This Row],[Quantity]]*online_retail_dataset[[#This Row],[UnitPrice]]</f>
        <v>15.9</v>
      </c>
    </row>
    <row r="139" spans="1:9" x14ac:dyDescent="0.3">
      <c r="A139" t="s">
        <v>343</v>
      </c>
      <c r="B139" t="s">
        <v>232</v>
      </c>
      <c r="C139" t="s">
        <v>233</v>
      </c>
      <c r="D139">
        <v>2</v>
      </c>
      <c r="E139" s="1">
        <v>40659.45416666667</v>
      </c>
      <c r="F139" s="12">
        <v>7.95</v>
      </c>
      <c r="G139">
        <v>15108</v>
      </c>
      <c r="H139" t="s">
        <v>344</v>
      </c>
      <c r="I139" s="12">
        <f>online_retail_dataset[[#This Row],[Quantity]]*online_retail_dataset[[#This Row],[UnitPrice]]</f>
        <v>15.9</v>
      </c>
    </row>
    <row r="140" spans="1:9" x14ac:dyDescent="0.3">
      <c r="A140" t="s">
        <v>343</v>
      </c>
      <c r="B140" t="s">
        <v>64</v>
      </c>
      <c r="C140" t="s">
        <v>65</v>
      </c>
      <c r="D140">
        <v>6</v>
      </c>
      <c r="E140" s="1">
        <v>40659.45416666667</v>
      </c>
      <c r="F140" s="12">
        <v>2.95</v>
      </c>
      <c r="G140">
        <v>15108</v>
      </c>
      <c r="H140" t="s">
        <v>344</v>
      </c>
      <c r="I140" s="12">
        <f>online_retail_dataset[[#This Row],[Quantity]]*online_retail_dataset[[#This Row],[UnitPrice]]</f>
        <v>17.700000000000003</v>
      </c>
    </row>
    <row r="141" spans="1:9" x14ac:dyDescent="0.3">
      <c r="A141" t="s">
        <v>345</v>
      </c>
      <c r="B141" t="s">
        <v>282</v>
      </c>
      <c r="C141" t="s">
        <v>283</v>
      </c>
      <c r="D141">
        <v>24</v>
      </c>
      <c r="E141" s="1">
        <v>40672.575694444444</v>
      </c>
      <c r="F141" s="12">
        <v>1.25</v>
      </c>
      <c r="G141">
        <v>12355</v>
      </c>
      <c r="H141" t="s">
        <v>315</v>
      </c>
      <c r="I141" s="12">
        <f>online_retail_dataset[[#This Row],[Quantity]]*online_retail_dataset[[#This Row],[UnitPrice]]</f>
        <v>30</v>
      </c>
    </row>
    <row r="142" spans="1:9" x14ac:dyDescent="0.3">
      <c r="A142" t="s">
        <v>346</v>
      </c>
      <c r="B142" t="s">
        <v>154</v>
      </c>
      <c r="C142" t="s">
        <v>155</v>
      </c>
      <c r="D142">
        <v>3</v>
      </c>
      <c r="E142" s="1">
        <v>40702.354861111111</v>
      </c>
      <c r="F142" s="12">
        <v>4.95</v>
      </c>
      <c r="G142">
        <v>17828</v>
      </c>
      <c r="H142" t="s">
        <v>347</v>
      </c>
      <c r="I142" s="12">
        <f>online_retail_dataset[[#This Row],[Quantity]]*online_retail_dataset[[#This Row],[UnitPrice]]</f>
        <v>14.850000000000001</v>
      </c>
    </row>
    <row r="143" spans="1:9" x14ac:dyDescent="0.3">
      <c r="A143" t="s">
        <v>346</v>
      </c>
      <c r="B143" t="s">
        <v>9</v>
      </c>
      <c r="C143" t="s">
        <v>10</v>
      </c>
      <c r="D143">
        <v>6</v>
      </c>
      <c r="E143" s="1">
        <v>40702.354861111111</v>
      </c>
      <c r="F143" s="12">
        <v>2.95</v>
      </c>
      <c r="G143">
        <v>17828</v>
      </c>
      <c r="H143" t="s">
        <v>347</v>
      </c>
      <c r="I143" s="12">
        <f>online_retail_dataset[[#This Row],[Quantity]]*online_retail_dataset[[#This Row],[UnitPrice]]</f>
        <v>17.700000000000003</v>
      </c>
    </row>
    <row r="144" spans="1:9" x14ac:dyDescent="0.3">
      <c r="A144" t="s">
        <v>346</v>
      </c>
      <c r="B144" t="s">
        <v>40</v>
      </c>
      <c r="C144" t="s">
        <v>41</v>
      </c>
      <c r="D144">
        <v>6</v>
      </c>
      <c r="E144" s="1">
        <v>40702.354861111111</v>
      </c>
      <c r="F144" s="12">
        <v>2.95</v>
      </c>
      <c r="G144">
        <v>17828</v>
      </c>
      <c r="H144" t="s">
        <v>347</v>
      </c>
      <c r="I144" s="12">
        <f>online_retail_dataset[[#This Row],[Quantity]]*online_retail_dataset[[#This Row],[UnitPrice]]</f>
        <v>17.700000000000003</v>
      </c>
    </row>
    <row r="145" spans="1:9" x14ac:dyDescent="0.3">
      <c r="A145" t="s">
        <v>346</v>
      </c>
      <c r="B145" t="s">
        <v>100</v>
      </c>
      <c r="C145" t="s">
        <v>101</v>
      </c>
      <c r="D145">
        <v>12</v>
      </c>
      <c r="E145" s="1">
        <v>40702.354861111111</v>
      </c>
      <c r="F145" s="12">
        <v>1.25</v>
      </c>
      <c r="G145">
        <v>17828</v>
      </c>
      <c r="H145" t="s">
        <v>347</v>
      </c>
      <c r="I145" s="12">
        <f>online_retail_dataset[[#This Row],[Quantity]]*online_retail_dataset[[#This Row],[UnitPrice]]</f>
        <v>15</v>
      </c>
    </row>
    <row r="146" spans="1:9" x14ac:dyDescent="0.3">
      <c r="A146" t="s">
        <v>348</v>
      </c>
      <c r="B146" t="s">
        <v>214</v>
      </c>
      <c r="C146" t="s">
        <v>215</v>
      </c>
      <c r="D146">
        <v>8</v>
      </c>
      <c r="E146" s="1">
        <v>40829.534722222219</v>
      </c>
      <c r="F146" s="12">
        <v>0.85</v>
      </c>
      <c r="G146">
        <v>12446</v>
      </c>
      <c r="H146" t="s">
        <v>349</v>
      </c>
      <c r="I146" s="12">
        <f>online_retail_dataset[[#This Row],[Quantity]]*online_retail_dataset[[#This Row],[UnitPrice]]</f>
        <v>6.8</v>
      </c>
    </row>
    <row r="147" spans="1:9" x14ac:dyDescent="0.3">
      <c r="A147" t="s">
        <v>348</v>
      </c>
      <c r="B147" t="s">
        <v>132</v>
      </c>
      <c r="C147" t="s">
        <v>133</v>
      </c>
      <c r="D147">
        <v>8</v>
      </c>
      <c r="E147" s="1">
        <v>40829.534722222219</v>
      </c>
      <c r="F147" s="12">
        <v>1.69</v>
      </c>
      <c r="G147">
        <v>12446</v>
      </c>
      <c r="H147" t="s">
        <v>349</v>
      </c>
      <c r="I147" s="12">
        <f>online_retail_dataset[[#This Row],[Quantity]]*online_retail_dataset[[#This Row],[UnitPrice]]</f>
        <v>13.52</v>
      </c>
    </row>
  </sheetData>
  <mergeCells count="1">
    <mergeCell ref="A1:I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75913-8E1B-4406-889B-73862BF49AC9}">
  <dimension ref="A1:O156"/>
  <sheetViews>
    <sheetView workbookViewId="0">
      <selection activeCell="I7" sqref="I7"/>
    </sheetView>
  </sheetViews>
  <sheetFormatPr defaultRowHeight="14.4" x14ac:dyDescent="0.3"/>
  <cols>
    <col min="1" max="1" width="24.33203125" bestFit="1" customWidth="1"/>
    <col min="2" max="2" width="25.44140625" bestFit="1" customWidth="1"/>
    <col min="3" max="3" width="14.109375" bestFit="1" customWidth="1"/>
    <col min="4" max="4" width="7.6640625" bestFit="1" customWidth="1"/>
    <col min="5" max="5" width="39.6640625" style="10" bestFit="1" customWidth="1"/>
    <col min="6" max="6" width="25.21875" bestFit="1" customWidth="1"/>
    <col min="7" max="7" width="14.21875" bestFit="1" customWidth="1"/>
    <col min="8" max="8" width="3" bestFit="1" customWidth="1"/>
    <col min="9" max="9" width="34.109375" bestFit="1" customWidth="1"/>
    <col min="10" max="10" width="14.109375" bestFit="1" customWidth="1"/>
    <col min="11" max="11" width="14.21875" bestFit="1" customWidth="1"/>
    <col min="12" max="13" width="3" bestFit="1" customWidth="1"/>
    <col min="14" max="14" width="10.5546875" bestFit="1" customWidth="1"/>
    <col min="15" max="15" width="14.109375" bestFit="1" customWidth="1"/>
    <col min="16" max="18" width="3" bestFit="1" customWidth="1"/>
    <col min="19" max="19" width="4" bestFit="1" customWidth="1"/>
    <col min="20" max="20" width="3" bestFit="1" customWidth="1"/>
    <col min="21" max="21" width="4" bestFit="1" customWidth="1"/>
    <col min="22" max="23" width="3" bestFit="1" customWidth="1"/>
    <col min="24" max="29" width="4" bestFit="1" customWidth="1"/>
    <col min="30" max="30" width="10.5546875" bestFit="1" customWidth="1"/>
    <col min="31" max="45" width="7" bestFit="1" customWidth="1"/>
    <col min="46" max="46" width="10.5546875" bestFit="1" customWidth="1"/>
    <col min="47" max="93" width="6" bestFit="1" customWidth="1"/>
    <col min="94" max="94" width="7.21875" bestFit="1" customWidth="1"/>
    <col min="95" max="95" width="7.33203125" bestFit="1" customWidth="1"/>
    <col min="96" max="101" width="6" bestFit="1" customWidth="1"/>
    <col min="102" max="102" width="7.109375" bestFit="1" customWidth="1"/>
    <col min="103" max="103" width="7.21875" bestFit="1" customWidth="1"/>
    <col min="104" max="107" width="6" bestFit="1" customWidth="1"/>
    <col min="108" max="108" width="7.33203125" bestFit="1" customWidth="1"/>
    <col min="109" max="111" width="6" bestFit="1" customWidth="1"/>
    <col min="112" max="112" width="7.109375" bestFit="1" customWidth="1"/>
    <col min="113" max="121" width="6" bestFit="1" customWidth="1"/>
    <col min="122" max="122" width="7.109375" bestFit="1" customWidth="1"/>
    <col min="123" max="123" width="7.21875" bestFit="1" customWidth="1"/>
    <col min="124" max="125" width="6" bestFit="1" customWidth="1"/>
    <col min="126" max="126" width="7.109375" bestFit="1" customWidth="1"/>
    <col min="127" max="127" width="6" bestFit="1" customWidth="1"/>
    <col min="128" max="130" width="7.109375" bestFit="1" customWidth="1"/>
    <col min="131" max="131" width="5.44140625" bestFit="1" customWidth="1"/>
    <col min="132" max="132" width="10.5546875" bestFit="1" customWidth="1"/>
  </cols>
  <sheetData>
    <row r="1" spans="1:15" ht="23.4" customHeight="1" x14ac:dyDescent="0.45">
      <c r="A1" s="19" t="s">
        <v>360</v>
      </c>
      <c r="B1" s="19"/>
      <c r="C1" s="19"/>
      <c r="E1" s="20" t="s">
        <v>364</v>
      </c>
      <c r="F1" s="20"/>
      <c r="G1" s="20"/>
      <c r="I1" s="19" t="s">
        <v>359</v>
      </c>
      <c r="J1" s="19"/>
      <c r="K1" s="19"/>
      <c r="N1" s="18" t="s">
        <v>370</v>
      </c>
      <c r="O1" s="18"/>
    </row>
    <row r="2" spans="1:15" x14ac:dyDescent="0.3">
      <c r="A2" s="4" t="s">
        <v>355</v>
      </c>
      <c r="B2" t="s">
        <v>356</v>
      </c>
      <c r="C2" t="s">
        <v>357</v>
      </c>
      <c r="E2" s="9" t="s">
        <v>7</v>
      </c>
      <c r="F2" t="s">
        <v>386</v>
      </c>
      <c r="I2" s="4" t="s">
        <v>0</v>
      </c>
      <c r="J2" t="s">
        <v>72</v>
      </c>
      <c r="N2" s="4" t="s">
        <v>373</v>
      </c>
      <c r="O2" t="s">
        <v>357</v>
      </c>
    </row>
    <row r="3" spans="1:15" x14ac:dyDescent="0.3">
      <c r="A3" s="5" t="s">
        <v>75</v>
      </c>
      <c r="B3" s="22">
        <v>60</v>
      </c>
      <c r="C3" s="13">
        <v>193.70000000000002</v>
      </c>
      <c r="N3" s="5" t="s">
        <v>378</v>
      </c>
      <c r="O3" s="15">
        <v>419.7</v>
      </c>
    </row>
    <row r="4" spans="1:15" x14ac:dyDescent="0.3">
      <c r="A4" s="6">
        <v>12386</v>
      </c>
      <c r="B4" s="22">
        <v>24</v>
      </c>
      <c r="C4" s="13">
        <v>30</v>
      </c>
      <c r="E4" s="9" t="s">
        <v>374</v>
      </c>
      <c r="F4" t="s">
        <v>357</v>
      </c>
      <c r="G4" t="s">
        <v>354</v>
      </c>
      <c r="I4" s="4" t="s">
        <v>374</v>
      </c>
      <c r="J4" t="s">
        <v>357</v>
      </c>
      <c r="K4" t="s">
        <v>354</v>
      </c>
      <c r="N4" s="5" t="s">
        <v>379</v>
      </c>
      <c r="O4" s="15">
        <v>305.33999999999997</v>
      </c>
    </row>
    <row r="5" spans="1:15" x14ac:dyDescent="0.3">
      <c r="A5" s="6">
        <v>12431</v>
      </c>
      <c r="B5" s="22">
        <v>36</v>
      </c>
      <c r="C5" s="13">
        <v>163.70000000000002</v>
      </c>
      <c r="E5" s="5" t="s">
        <v>361</v>
      </c>
      <c r="F5" s="13">
        <v>4973.7399999999989</v>
      </c>
      <c r="G5" s="22">
        <v>3069</v>
      </c>
      <c r="I5" s="5" t="s">
        <v>74</v>
      </c>
      <c r="J5" s="13">
        <v>51</v>
      </c>
      <c r="K5" s="22">
        <v>6</v>
      </c>
      <c r="N5" s="5" t="s">
        <v>380</v>
      </c>
      <c r="O5" s="15">
        <v>63.819999999999993</v>
      </c>
    </row>
    <row r="6" spans="1:15" x14ac:dyDescent="0.3">
      <c r="A6" s="5" t="s">
        <v>307</v>
      </c>
      <c r="B6" s="22">
        <v>42</v>
      </c>
      <c r="C6" s="13">
        <v>139.5</v>
      </c>
      <c r="E6" s="6" t="s">
        <v>362</v>
      </c>
      <c r="F6" s="13">
        <v>4973.7399999999989</v>
      </c>
      <c r="G6" s="22">
        <v>3069</v>
      </c>
      <c r="I6" s="5" t="s">
        <v>61</v>
      </c>
      <c r="J6" s="13">
        <v>32.700000000000003</v>
      </c>
      <c r="K6" s="22">
        <v>6</v>
      </c>
      <c r="N6" s="5" t="s">
        <v>382</v>
      </c>
      <c r="O6" s="15">
        <v>414.7999999999999</v>
      </c>
    </row>
    <row r="7" spans="1:15" x14ac:dyDescent="0.3">
      <c r="A7" s="6">
        <v>12370</v>
      </c>
      <c r="B7" s="22">
        <v>42</v>
      </c>
      <c r="C7" s="13">
        <v>139.5</v>
      </c>
      <c r="E7" s="7" t="s">
        <v>363</v>
      </c>
      <c r="F7" s="13">
        <v>4973.7399999999989</v>
      </c>
      <c r="G7" s="22">
        <v>3069</v>
      </c>
      <c r="I7" s="5" t="s">
        <v>79</v>
      </c>
      <c r="J7" s="13">
        <v>25.4</v>
      </c>
      <c r="K7" s="22">
        <v>4</v>
      </c>
      <c r="N7" s="5" t="s">
        <v>383</v>
      </c>
      <c r="O7" s="15">
        <v>30</v>
      </c>
    </row>
    <row r="8" spans="1:15" x14ac:dyDescent="0.3">
      <c r="A8" s="5" t="s">
        <v>315</v>
      </c>
      <c r="B8" s="22">
        <v>78</v>
      </c>
      <c r="C8" s="13">
        <v>235.74</v>
      </c>
      <c r="E8" s="8" t="s">
        <v>177</v>
      </c>
      <c r="F8" s="13">
        <v>30</v>
      </c>
      <c r="G8" s="22">
        <v>24</v>
      </c>
      <c r="I8" s="5" t="s">
        <v>33</v>
      </c>
      <c r="J8" s="13">
        <v>15</v>
      </c>
      <c r="K8" s="22">
        <v>12</v>
      </c>
      <c r="N8" s="5" t="s">
        <v>384</v>
      </c>
      <c r="O8" s="15">
        <v>65.25</v>
      </c>
    </row>
    <row r="9" spans="1:15" x14ac:dyDescent="0.3">
      <c r="A9" s="6">
        <v>12355</v>
      </c>
      <c r="B9" s="22">
        <v>78</v>
      </c>
      <c r="C9" s="13">
        <v>235.74</v>
      </c>
      <c r="E9" s="8" t="s">
        <v>71</v>
      </c>
      <c r="F9" s="13">
        <v>19.799999999999997</v>
      </c>
      <c r="G9" s="22">
        <v>12</v>
      </c>
      <c r="I9" s="5" t="s">
        <v>77</v>
      </c>
      <c r="J9" s="13">
        <v>39.6</v>
      </c>
      <c r="K9" s="22">
        <v>8</v>
      </c>
      <c r="N9" s="5" t="s">
        <v>385</v>
      </c>
      <c r="O9" s="15">
        <v>20.32</v>
      </c>
    </row>
    <row r="10" spans="1:15" x14ac:dyDescent="0.3">
      <c r="A10" s="5" t="s">
        <v>273</v>
      </c>
      <c r="B10" s="22">
        <v>254</v>
      </c>
      <c r="C10" s="13">
        <v>145.9</v>
      </c>
      <c r="E10" s="8" t="s">
        <v>223</v>
      </c>
      <c r="F10" s="13">
        <v>12.600000000000001</v>
      </c>
      <c r="G10" s="22">
        <v>6</v>
      </c>
      <c r="I10" s="5" t="s">
        <v>353</v>
      </c>
      <c r="J10" s="13">
        <v>163.69999999999999</v>
      </c>
      <c r="K10" s="22">
        <v>36</v>
      </c>
      <c r="N10" s="5" t="s">
        <v>363</v>
      </c>
      <c r="O10" s="15">
        <v>4973.7399999999989</v>
      </c>
    </row>
    <row r="11" spans="1:15" x14ac:dyDescent="0.3">
      <c r="A11" s="6">
        <v>12395</v>
      </c>
      <c r="B11" s="22">
        <v>254</v>
      </c>
      <c r="C11" s="13">
        <v>145.9</v>
      </c>
      <c r="E11" s="8" t="s">
        <v>143</v>
      </c>
      <c r="F11" s="13">
        <v>171.6</v>
      </c>
      <c r="G11" s="22">
        <v>312</v>
      </c>
      <c r="N11" s="5" t="s">
        <v>353</v>
      </c>
      <c r="O11" s="15">
        <v>6292.9699999999984</v>
      </c>
    </row>
    <row r="12" spans="1:15" x14ac:dyDescent="0.3">
      <c r="A12" s="5" t="s">
        <v>340</v>
      </c>
      <c r="B12" s="22">
        <v>40</v>
      </c>
      <c r="C12" s="13">
        <v>236.39999999999998</v>
      </c>
      <c r="E12" s="8" t="s">
        <v>47</v>
      </c>
      <c r="F12" s="13">
        <v>63.6</v>
      </c>
      <c r="G12" s="22">
        <v>144</v>
      </c>
    </row>
    <row r="13" spans="1:15" x14ac:dyDescent="0.3">
      <c r="A13" s="6">
        <v>12769</v>
      </c>
      <c r="B13" s="22">
        <v>40</v>
      </c>
      <c r="C13" s="13">
        <v>236.39999999999998</v>
      </c>
      <c r="E13" s="8" t="s">
        <v>105</v>
      </c>
      <c r="F13" s="13">
        <v>39.6</v>
      </c>
      <c r="G13" s="22">
        <v>72</v>
      </c>
    </row>
    <row r="14" spans="1:15" ht="23.4" x14ac:dyDescent="0.45">
      <c r="A14" s="5" t="s">
        <v>336</v>
      </c>
      <c r="B14" s="22">
        <v>30</v>
      </c>
      <c r="C14" s="13">
        <v>63.819999999999993</v>
      </c>
      <c r="E14" s="8" t="s">
        <v>195</v>
      </c>
      <c r="F14" s="13">
        <v>17</v>
      </c>
      <c r="G14" s="22">
        <v>4</v>
      </c>
      <c r="N14" s="18" t="s">
        <v>371</v>
      </c>
      <c r="O14" s="18"/>
    </row>
    <row r="15" spans="1:15" x14ac:dyDescent="0.3">
      <c r="A15" s="6">
        <v>15388</v>
      </c>
      <c r="B15" s="22">
        <v>30</v>
      </c>
      <c r="C15" s="13">
        <v>63.819999999999993</v>
      </c>
      <c r="E15" s="8" t="s">
        <v>225</v>
      </c>
      <c r="F15" s="13">
        <v>15</v>
      </c>
      <c r="G15" s="22">
        <v>4</v>
      </c>
      <c r="N15" s="4" t="s">
        <v>7</v>
      </c>
      <c r="O15" t="s">
        <v>357</v>
      </c>
    </row>
    <row r="16" spans="1:15" x14ac:dyDescent="0.3">
      <c r="A16" s="5" t="s">
        <v>292</v>
      </c>
      <c r="B16" s="22">
        <v>20</v>
      </c>
      <c r="C16" s="13">
        <v>83.88</v>
      </c>
      <c r="E16" s="8" t="s">
        <v>29</v>
      </c>
      <c r="F16" s="13">
        <v>60</v>
      </c>
      <c r="G16" s="22">
        <v>16</v>
      </c>
      <c r="N16" s="5" t="s">
        <v>75</v>
      </c>
      <c r="O16" s="15">
        <v>193.70000000000002</v>
      </c>
    </row>
    <row r="17" spans="1:15" x14ac:dyDescent="0.3">
      <c r="A17" s="6">
        <v>14932</v>
      </c>
      <c r="B17" s="22">
        <v>20</v>
      </c>
      <c r="C17" s="13">
        <v>83.88</v>
      </c>
      <c r="E17" s="8" t="s">
        <v>24</v>
      </c>
      <c r="F17" s="13">
        <v>90</v>
      </c>
      <c r="G17" s="22">
        <v>24</v>
      </c>
      <c r="N17" s="5" t="s">
        <v>307</v>
      </c>
      <c r="O17" s="15">
        <v>139.5</v>
      </c>
    </row>
    <row r="18" spans="1:15" x14ac:dyDescent="0.3">
      <c r="A18" s="5" t="s">
        <v>304</v>
      </c>
      <c r="B18" s="22">
        <v>84</v>
      </c>
      <c r="C18" s="13">
        <v>188.2</v>
      </c>
      <c r="E18" s="8" t="s">
        <v>27</v>
      </c>
      <c r="F18" s="13">
        <v>90</v>
      </c>
      <c r="G18" s="22">
        <v>24</v>
      </c>
      <c r="N18" s="5" t="s">
        <v>315</v>
      </c>
      <c r="O18" s="15">
        <v>235.74</v>
      </c>
    </row>
    <row r="19" spans="1:15" x14ac:dyDescent="0.3">
      <c r="A19" s="6">
        <v>12370</v>
      </c>
      <c r="B19" s="22">
        <v>84</v>
      </c>
      <c r="C19" s="13">
        <v>188.2</v>
      </c>
      <c r="E19" s="8" t="s">
        <v>129</v>
      </c>
      <c r="F19" s="13">
        <v>25.200000000000003</v>
      </c>
      <c r="G19" s="22">
        <v>12</v>
      </c>
      <c r="N19" s="5" t="s">
        <v>273</v>
      </c>
      <c r="O19" s="15">
        <v>145.9</v>
      </c>
    </row>
    <row r="20" spans="1:15" x14ac:dyDescent="0.3">
      <c r="A20" s="5" t="s">
        <v>332</v>
      </c>
      <c r="B20" s="22">
        <v>90</v>
      </c>
      <c r="C20" s="13">
        <v>97.5</v>
      </c>
      <c r="E20" s="8" t="s">
        <v>187</v>
      </c>
      <c r="F20" s="13">
        <v>17.700000000000003</v>
      </c>
      <c r="G20" s="22">
        <v>6</v>
      </c>
      <c r="N20" s="5" t="s">
        <v>340</v>
      </c>
      <c r="O20" s="15">
        <v>236.39999999999998</v>
      </c>
    </row>
    <row r="21" spans="1:15" x14ac:dyDescent="0.3">
      <c r="A21" s="6">
        <v>12781</v>
      </c>
      <c r="B21" s="22">
        <v>90</v>
      </c>
      <c r="C21" s="13">
        <v>97.5</v>
      </c>
      <c r="E21" s="8" t="s">
        <v>269</v>
      </c>
      <c r="F21" s="13">
        <v>9.8999999999999986</v>
      </c>
      <c r="G21" s="22">
        <v>6</v>
      </c>
      <c r="N21" s="5" t="s">
        <v>336</v>
      </c>
      <c r="O21" s="15">
        <v>63.819999999999993</v>
      </c>
    </row>
    <row r="22" spans="1:15" x14ac:dyDescent="0.3">
      <c r="A22" s="5" t="s">
        <v>294</v>
      </c>
      <c r="B22" s="22">
        <v>66</v>
      </c>
      <c r="C22" s="13">
        <v>328.7</v>
      </c>
      <c r="E22" s="8" t="s">
        <v>115</v>
      </c>
      <c r="F22" s="13">
        <v>15</v>
      </c>
      <c r="G22" s="22">
        <v>12</v>
      </c>
      <c r="N22" s="5" t="s">
        <v>292</v>
      </c>
      <c r="O22" s="15">
        <v>83.88</v>
      </c>
    </row>
    <row r="23" spans="1:15" x14ac:dyDescent="0.3">
      <c r="A23" s="6">
        <v>12429</v>
      </c>
      <c r="B23" s="22">
        <v>66</v>
      </c>
      <c r="C23" s="13">
        <v>328.7</v>
      </c>
      <c r="E23" s="8" t="s">
        <v>170</v>
      </c>
      <c r="F23" s="13">
        <v>21</v>
      </c>
      <c r="G23" s="22">
        <v>50</v>
      </c>
      <c r="N23" s="5" t="s">
        <v>304</v>
      </c>
      <c r="O23" s="15">
        <v>188.2</v>
      </c>
    </row>
    <row r="24" spans="1:15" x14ac:dyDescent="0.3">
      <c r="A24" s="5" t="s">
        <v>185</v>
      </c>
      <c r="B24" s="22">
        <v>78</v>
      </c>
      <c r="C24" s="13">
        <v>151.30000000000001</v>
      </c>
      <c r="E24" s="8" t="s">
        <v>197</v>
      </c>
      <c r="F24" s="13">
        <v>119.6</v>
      </c>
      <c r="G24" s="22">
        <v>8</v>
      </c>
      <c r="N24" s="5" t="s">
        <v>332</v>
      </c>
      <c r="O24" s="15">
        <v>97.5</v>
      </c>
    </row>
    <row r="25" spans="1:15" x14ac:dyDescent="0.3">
      <c r="A25" s="6">
        <v>14911</v>
      </c>
      <c r="B25" s="22">
        <v>78</v>
      </c>
      <c r="C25" s="13">
        <v>151.30000000000001</v>
      </c>
      <c r="E25" s="8" t="s">
        <v>121</v>
      </c>
      <c r="F25" s="13">
        <v>5.04</v>
      </c>
      <c r="G25" s="22">
        <v>12</v>
      </c>
      <c r="N25" s="5" t="s">
        <v>294</v>
      </c>
      <c r="O25" s="15">
        <v>328.7</v>
      </c>
    </row>
    <row r="26" spans="1:15" x14ac:dyDescent="0.3">
      <c r="A26" s="5" t="s">
        <v>344</v>
      </c>
      <c r="B26" s="22">
        <v>11</v>
      </c>
      <c r="C26" s="13">
        <v>64.45</v>
      </c>
      <c r="E26" s="8" t="s">
        <v>199</v>
      </c>
      <c r="F26" s="13">
        <v>68</v>
      </c>
      <c r="G26" s="22">
        <v>8</v>
      </c>
      <c r="N26" s="5" t="s">
        <v>185</v>
      </c>
      <c r="O26" s="15">
        <v>151.30000000000001</v>
      </c>
    </row>
    <row r="27" spans="1:15" x14ac:dyDescent="0.3">
      <c r="A27" s="6">
        <v>15108</v>
      </c>
      <c r="B27" s="22">
        <v>11</v>
      </c>
      <c r="C27" s="13">
        <v>64.45</v>
      </c>
      <c r="E27" s="8" t="s">
        <v>189</v>
      </c>
      <c r="F27" s="13">
        <v>15.299999999999999</v>
      </c>
      <c r="G27" s="22">
        <v>6</v>
      </c>
      <c r="N27" s="5" t="s">
        <v>344</v>
      </c>
      <c r="O27" s="15">
        <v>64.45</v>
      </c>
    </row>
    <row r="28" spans="1:15" x14ac:dyDescent="0.3">
      <c r="A28" s="5" t="s">
        <v>310</v>
      </c>
      <c r="B28" s="22">
        <v>312</v>
      </c>
      <c r="C28" s="13">
        <v>156</v>
      </c>
      <c r="E28" s="8" t="s">
        <v>191</v>
      </c>
      <c r="F28" s="13">
        <v>42.5</v>
      </c>
      <c r="G28" s="22">
        <v>50</v>
      </c>
      <c r="N28" s="5" t="s">
        <v>310</v>
      </c>
      <c r="O28" s="15">
        <v>156</v>
      </c>
    </row>
    <row r="29" spans="1:15" x14ac:dyDescent="0.3">
      <c r="A29" s="6">
        <v>12348</v>
      </c>
      <c r="B29" s="22">
        <v>312</v>
      </c>
      <c r="C29" s="13">
        <v>156</v>
      </c>
      <c r="E29" s="8" t="s">
        <v>141</v>
      </c>
      <c r="F29" s="13">
        <v>16.8</v>
      </c>
      <c r="G29" s="22">
        <v>8</v>
      </c>
      <c r="N29" s="5" t="s">
        <v>25</v>
      </c>
      <c r="O29" s="15">
        <v>235.2</v>
      </c>
    </row>
    <row r="30" spans="1:15" x14ac:dyDescent="0.3">
      <c r="A30" s="5" t="s">
        <v>25</v>
      </c>
      <c r="B30" s="22">
        <v>72</v>
      </c>
      <c r="C30" s="13">
        <v>235.2</v>
      </c>
      <c r="E30" s="8" t="s">
        <v>74</v>
      </c>
      <c r="F30" s="13">
        <v>51</v>
      </c>
      <c r="G30" s="22">
        <v>6</v>
      </c>
      <c r="N30" s="5" t="s">
        <v>161</v>
      </c>
      <c r="O30" s="15">
        <v>63</v>
      </c>
    </row>
    <row r="31" spans="1:15" x14ac:dyDescent="0.3">
      <c r="A31" s="6">
        <v>12583</v>
      </c>
      <c r="B31" s="22">
        <v>72</v>
      </c>
      <c r="C31" s="13">
        <v>235.2</v>
      </c>
      <c r="E31" s="8" t="s">
        <v>227</v>
      </c>
      <c r="F31" s="13">
        <v>39</v>
      </c>
      <c r="G31" s="22">
        <v>12</v>
      </c>
      <c r="N31" s="5" t="s">
        <v>319</v>
      </c>
      <c r="O31" s="15">
        <v>193.2</v>
      </c>
    </row>
    <row r="32" spans="1:15" x14ac:dyDescent="0.3">
      <c r="A32" s="5" t="s">
        <v>161</v>
      </c>
      <c r="B32" s="22">
        <v>36</v>
      </c>
      <c r="C32" s="13">
        <v>63</v>
      </c>
      <c r="E32" s="8" t="s">
        <v>15</v>
      </c>
      <c r="F32" s="13">
        <v>22</v>
      </c>
      <c r="G32" s="22">
        <v>8</v>
      </c>
      <c r="N32" s="5" t="s">
        <v>321</v>
      </c>
      <c r="O32" s="15">
        <v>120</v>
      </c>
    </row>
    <row r="33" spans="1:15" x14ac:dyDescent="0.3">
      <c r="A33" s="6">
        <v>12662</v>
      </c>
      <c r="B33" s="22">
        <v>36</v>
      </c>
      <c r="C33" s="13">
        <v>63</v>
      </c>
      <c r="E33" s="11" t="s">
        <v>55</v>
      </c>
      <c r="F33" s="13">
        <v>15.9</v>
      </c>
      <c r="G33" s="22">
        <v>2</v>
      </c>
      <c r="N33" s="5" t="s">
        <v>285</v>
      </c>
      <c r="O33" s="15">
        <v>81.2</v>
      </c>
    </row>
    <row r="34" spans="1:15" x14ac:dyDescent="0.3">
      <c r="A34" s="5" t="s">
        <v>319</v>
      </c>
      <c r="B34" s="22">
        <v>72</v>
      </c>
      <c r="C34" s="13">
        <v>193.2</v>
      </c>
      <c r="E34" s="11" t="s">
        <v>279</v>
      </c>
      <c r="F34" s="13">
        <v>15.9</v>
      </c>
      <c r="G34" s="22">
        <v>2</v>
      </c>
      <c r="N34" s="5" t="s">
        <v>308</v>
      </c>
      <c r="O34" s="15">
        <v>43.8</v>
      </c>
    </row>
    <row r="35" spans="1:15" x14ac:dyDescent="0.3">
      <c r="A35" s="6">
        <v>14439</v>
      </c>
      <c r="B35" s="22">
        <v>72</v>
      </c>
      <c r="C35" s="13">
        <v>193.2</v>
      </c>
      <c r="E35" s="11" t="s">
        <v>119</v>
      </c>
      <c r="F35" s="13">
        <v>15.9</v>
      </c>
      <c r="G35" s="22">
        <v>2</v>
      </c>
      <c r="N35" s="5" t="s">
        <v>265</v>
      </c>
      <c r="O35" s="15">
        <v>67.5</v>
      </c>
    </row>
    <row r="36" spans="1:15" x14ac:dyDescent="0.3">
      <c r="A36" s="5" t="s">
        <v>321</v>
      </c>
      <c r="B36" s="22">
        <v>72</v>
      </c>
      <c r="C36" s="13">
        <v>120</v>
      </c>
      <c r="E36" s="8" t="s">
        <v>235</v>
      </c>
      <c r="F36" s="13">
        <v>15.9</v>
      </c>
      <c r="G36" s="22">
        <v>2</v>
      </c>
      <c r="N36" s="5" t="s">
        <v>277</v>
      </c>
      <c r="O36" s="15">
        <v>25.38</v>
      </c>
    </row>
    <row r="37" spans="1:15" x14ac:dyDescent="0.3">
      <c r="A37" s="6">
        <v>12377</v>
      </c>
      <c r="B37" s="22">
        <v>72</v>
      </c>
      <c r="C37" s="13">
        <v>120</v>
      </c>
      <c r="E37" s="11" t="s">
        <v>131</v>
      </c>
      <c r="F37" s="13">
        <v>15.9</v>
      </c>
      <c r="G37" s="22">
        <v>2</v>
      </c>
      <c r="N37" s="5" t="s">
        <v>325</v>
      </c>
      <c r="O37" s="15">
        <v>62.88</v>
      </c>
    </row>
    <row r="38" spans="1:15" x14ac:dyDescent="0.3">
      <c r="A38" s="5" t="s">
        <v>285</v>
      </c>
      <c r="B38" s="22">
        <v>28</v>
      </c>
      <c r="C38" s="13">
        <v>81.2</v>
      </c>
      <c r="E38" s="8" t="s">
        <v>53</v>
      </c>
      <c r="F38" s="13">
        <v>71.400000000000006</v>
      </c>
      <c r="G38" s="22">
        <v>12</v>
      </c>
      <c r="N38" s="5" t="s">
        <v>275</v>
      </c>
      <c r="O38" s="15">
        <v>131.4</v>
      </c>
    </row>
    <row r="39" spans="1:15" x14ac:dyDescent="0.3">
      <c r="A39" s="6">
        <v>12347</v>
      </c>
      <c r="B39" s="22">
        <v>28</v>
      </c>
      <c r="C39" s="13">
        <v>81.2</v>
      </c>
      <c r="E39" s="8" t="s">
        <v>87</v>
      </c>
      <c r="F39" s="13">
        <v>5.04</v>
      </c>
      <c r="G39" s="22">
        <v>12</v>
      </c>
      <c r="N39" s="5" t="s">
        <v>347</v>
      </c>
      <c r="O39" s="15">
        <v>65.25</v>
      </c>
    </row>
    <row r="40" spans="1:15" x14ac:dyDescent="0.3">
      <c r="A40" s="5" t="s">
        <v>308</v>
      </c>
      <c r="B40" s="22">
        <v>36</v>
      </c>
      <c r="C40" s="13">
        <v>43.8</v>
      </c>
      <c r="E40" s="8" t="s">
        <v>127</v>
      </c>
      <c r="F40" s="13">
        <v>15</v>
      </c>
      <c r="G40" s="22">
        <v>4</v>
      </c>
      <c r="N40" s="5" t="s">
        <v>99</v>
      </c>
      <c r="O40" s="15">
        <v>199.56</v>
      </c>
    </row>
    <row r="41" spans="1:15" x14ac:dyDescent="0.3">
      <c r="A41" s="6">
        <v>12653</v>
      </c>
      <c r="B41" s="22">
        <v>36</v>
      </c>
      <c r="C41" s="13">
        <v>43.8</v>
      </c>
      <c r="E41" s="8" t="s">
        <v>135</v>
      </c>
      <c r="F41" s="13">
        <v>15</v>
      </c>
      <c r="G41" s="22">
        <v>4</v>
      </c>
      <c r="N41" s="5" t="s">
        <v>171</v>
      </c>
      <c r="O41" s="15">
        <v>139.56</v>
      </c>
    </row>
    <row r="42" spans="1:15" x14ac:dyDescent="0.3">
      <c r="A42" s="5" t="s">
        <v>265</v>
      </c>
      <c r="B42" s="22">
        <v>48</v>
      </c>
      <c r="C42" s="13">
        <v>67.5</v>
      </c>
      <c r="E42" s="8" t="s">
        <v>139</v>
      </c>
      <c r="F42" s="13">
        <v>15</v>
      </c>
      <c r="G42" s="22">
        <v>4</v>
      </c>
      <c r="N42" s="5" t="s">
        <v>259</v>
      </c>
      <c r="O42" s="15">
        <v>123.19999999999999</v>
      </c>
    </row>
    <row r="43" spans="1:15" x14ac:dyDescent="0.3">
      <c r="A43" s="6">
        <v>12725</v>
      </c>
      <c r="B43" s="22">
        <v>48</v>
      </c>
      <c r="C43" s="13">
        <v>67.5</v>
      </c>
      <c r="E43" s="8" t="s">
        <v>147</v>
      </c>
      <c r="F43" s="13">
        <v>37.5</v>
      </c>
      <c r="G43" s="22">
        <v>10</v>
      </c>
      <c r="N43" s="5" t="s">
        <v>263</v>
      </c>
      <c r="O43" s="15">
        <v>57.3</v>
      </c>
    </row>
    <row r="44" spans="1:15" x14ac:dyDescent="0.3">
      <c r="A44" s="5" t="s">
        <v>277</v>
      </c>
      <c r="B44" s="22">
        <v>30</v>
      </c>
      <c r="C44" s="13">
        <v>25.38</v>
      </c>
      <c r="E44" s="8" t="s">
        <v>173</v>
      </c>
      <c r="F44" s="13">
        <v>101.76</v>
      </c>
      <c r="G44" s="22">
        <v>96</v>
      </c>
      <c r="N44" s="5" t="s">
        <v>349</v>
      </c>
      <c r="O44" s="15">
        <v>20.32</v>
      </c>
    </row>
    <row r="45" spans="1:15" x14ac:dyDescent="0.3">
      <c r="A45" s="6">
        <v>12763</v>
      </c>
      <c r="B45" s="22">
        <v>30</v>
      </c>
      <c r="C45" s="13">
        <v>25.38</v>
      </c>
      <c r="E45" s="8" t="s">
        <v>89</v>
      </c>
      <c r="F45" s="13">
        <v>177.60000000000002</v>
      </c>
      <c r="G45" s="22">
        <v>96</v>
      </c>
      <c r="N45" s="5" t="s">
        <v>330</v>
      </c>
      <c r="O45" s="15">
        <v>5.04</v>
      </c>
    </row>
    <row r="46" spans="1:15" x14ac:dyDescent="0.3">
      <c r="A46" s="5" t="s">
        <v>325</v>
      </c>
      <c r="B46" s="22">
        <v>36</v>
      </c>
      <c r="C46" s="13">
        <v>62.88</v>
      </c>
      <c r="E46" s="8" t="s">
        <v>81</v>
      </c>
      <c r="F46" s="13">
        <v>10.199999999999999</v>
      </c>
      <c r="G46" s="22">
        <v>12</v>
      </c>
      <c r="N46" s="5" t="s">
        <v>323</v>
      </c>
      <c r="O46" s="15">
        <v>43.620000000000005</v>
      </c>
    </row>
    <row r="47" spans="1:15" x14ac:dyDescent="0.3">
      <c r="A47" s="6">
        <v>12764</v>
      </c>
      <c r="B47" s="22">
        <v>36</v>
      </c>
      <c r="C47" s="13">
        <v>62.88</v>
      </c>
      <c r="E47" s="8" t="s">
        <v>21</v>
      </c>
      <c r="F47" s="13">
        <v>25.5</v>
      </c>
      <c r="G47" s="22">
        <v>6</v>
      </c>
      <c r="N47" s="5" t="s">
        <v>257</v>
      </c>
      <c r="O47" s="15">
        <v>359.5</v>
      </c>
    </row>
    <row r="48" spans="1:15" x14ac:dyDescent="0.3">
      <c r="A48" s="5" t="s">
        <v>275</v>
      </c>
      <c r="B48" s="22">
        <v>60</v>
      </c>
      <c r="C48" s="13">
        <v>131.4</v>
      </c>
      <c r="E48" s="8" t="s">
        <v>17</v>
      </c>
      <c r="F48" s="13">
        <v>20.34</v>
      </c>
      <c r="G48" s="22">
        <v>6</v>
      </c>
      <c r="N48" s="5" t="s">
        <v>305</v>
      </c>
      <c r="O48" s="15">
        <v>1487.04</v>
      </c>
    </row>
    <row r="49" spans="1:15" x14ac:dyDescent="0.3">
      <c r="A49" s="6">
        <v>15332</v>
      </c>
      <c r="B49" s="22">
        <v>60</v>
      </c>
      <c r="C49" s="13">
        <v>131.4</v>
      </c>
      <c r="E49" s="8" t="s">
        <v>193</v>
      </c>
      <c r="F49" s="13">
        <v>13.5</v>
      </c>
      <c r="G49" s="22">
        <v>6</v>
      </c>
      <c r="N49" s="5" t="s">
        <v>249</v>
      </c>
      <c r="O49" s="15">
        <v>187.5</v>
      </c>
    </row>
    <row r="50" spans="1:15" x14ac:dyDescent="0.3">
      <c r="A50" s="5" t="s">
        <v>347</v>
      </c>
      <c r="B50" s="22">
        <v>27</v>
      </c>
      <c r="C50" s="13">
        <v>65.25</v>
      </c>
      <c r="E50" s="8" t="s">
        <v>111</v>
      </c>
      <c r="F50" s="13">
        <v>99</v>
      </c>
      <c r="G50" s="22">
        <v>60</v>
      </c>
      <c r="N50" s="5" t="s">
        <v>327</v>
      </c>
      <c r="O50" s="15">
        <v>159</v>
      </c>
    </row>
    <row r="51" spans="1:15" x14ac:dyDescent="0.3">
      <c r="A51" s="6">
        <v>17828</v>
      </c>
      <c r="B51" s="22">
        <v>27</v>
      </c>
      <c r="C51" s="13">
        <v>65.25</v>
      </c>
      <c r="E51" s="8" t="s">
        <v>109</v>
      </c>
      <c r="F51" s="13">
        <v>23.099999999999998</v>
      </c>
      <c r="G51" s="22">
        <v>14</v>
      </c>
      <c r="N51" s="5" t="s">
        <v>11</v>
      </c>
      <c r="O51" s="15">
        <v>223.48000000000002</v>
      </c>
    </row>
    <row r="52" spans="1:15" x14ac:dyDescent="0.3">
      <c r="A52" s="5" t="s">
        <v>99</v>
      </c>
      <c r="B52" s="22">
        <v>121</v>
      </c>
      <c r="C52" s="13">
        <v>199.56000000000003</v>
      </c>
      <c r="E52" s="8" t="s">
        <v>97</v>
      </c>
      <c r="F52" s="13">
        <v>145</v>
      </c>
      <c r="G52" s="22">
        <v>100</v>
      </c>
      <c r="N52" s="5" t="s">
        <v>338</v>
      </c>
      <c r="O52" s="15">
        <v>74.100000000000009</v>
      </c>
    </row>
    <row r="53" spans="1:15" x14ac:dyDescent="0.3">
      <c r="A53" s="6">
        <v>12791</v>
      </c>
      <c r="B53" s="22">
        <v>97</v>
      </c>
      <c r="C53" s="13">
        <v>192.60000000000002</v>
      </c>
      <c r="E53" s="8" t="s">
        <v>107</v>
      </c>
      <c r="F53" s="13">
        <v>132</v>
      </c>
      <c r="G53" s="22">
        <v>80</v>
      </c>
      <c r="N53" s="5" t="s">
        <v>342</v>
      </c>
      <c r="O53" s="15">
        <v>39.85</v>
      </c>
    </row>
    <row r="54" spans="1:15" x14ac:dyDescent="0.3">
      <c r="A54" s="6">
        <v>14646</v>
      </c>
      <c r="B54" s="22">
        <v>24</v>
      </c>
      <c r="C54" s="13">
        <v>6.9599999999999991</v>
      </c>
      <c r="E54" s="8" t="s">
        <v>219</v>
      </c>
      <c r="F54" s="13">
        <v>23.2</v>
      </c>
      <c r="G54" s="22">
        <v>16</v>
      </c>
      <c r="N54" s="5" t="s">
        <v>353</v>
      </c>
      <c r="O54" s="15">
        <v>6292.9700000000012</v>
      </c>
    </row>
    <row r="55" spans="1:15" x14ac:dyDescent="0.3">
      <c r="A55" s="5" t="s">
        <v>171</v>
      </c>
      <c r="B55" s="22">
        <v>154</v>
      </c>
      <c r="C55" s="13">
        <v>139.56</v>
      </c>
      <c r="E55" s="8" t="s">
        <v>231</v>
      </c>
      <c r="F55" s="13">
        <v>15</v>
      </c>
      <c r="G55" s="22">
        <v>12</v>
      </c>
    </row>
    <row r="56" spans="1:15" x14ac:dyDescent="0.3">
      <c r="A56" s="6">
        <v>12433</v>
      </c>
      <c r="B56" s="22">
        <v>154</v>
      </c>
      <c r="C56" s="13">
        <v>139.56</v>
      </c>
      <c r="E56" s="8" t="s">
        <v>163</v>
      </c>
      <c r="F56" s="13">
        <v>10.199999999999999</v>
      </c>
      <c r="G56" s="22">
        <v>12</v>
      </c>
    </row>
    <row r="57" spans="1:15" x14ac:dyDescent="0.3">
      <c r="A57" s="5" t="s">
        <v>259</v>
      </c>
      <c r="B57" s="22">
        <v>64</v>
      </c>
      <c r="C57" s="13">
        <v>123.19999999999999</v>
      </c>
      <c r="E57" s="8" t="s">
        <v>261</v>
      </c>
      <c r="F57" s="13">
        <v>205.74</v>
      </c>
      <c r="G57" s="22">
        <v>54</v>
      </c>
    </row>
    <row r="58" spans="1:15" x14ac:dyDescent="0.3">
      <c r="A58" s="6">
        <v>12779</v>
      </c>
      <c r="B58" s="22">
        <v>64</v>
      </c>
      <c r="C58" s="13">
        <v>123.19999999999999</v>
      </c>
      <c r="E58" s="8" t="s">
        <v>221</v>
      </c>
      <c r="F58" s="13">
        <v>17.700000000000003</v>
      </c>
      <c r="G58" s="22">
        <v>6</v>
      </c>
    </row>
    <row r="59" spans="1:15" x14ac:dyDescent="0.3">
      <c r="A59" s="5" t="s">
        <v>263</v>
      </c>
      <c r="B59" s="22">
        <v>30</v>
      </c>
      <c r="C59" s="13">
        <v>57.3</v>
      </c>
      <c r="E59" s="8" t="s">
        <v>137</v>
      </c>
      <c r="F59" s="13">
        <v>3.4799999999999995</v>
      </c>
      <c r="G59" s="22">
        <v>12</v>
      </c>
    </row>
    <row r="60" spans="1:15" x14ac:dyDescent="0.3">
      <c r="A60" s="6">
        <v>12793</v>
      </c>
      <c r="B60" s="22">
        <v>30</v>
      </c>
      <c r="C60" s="13">
        <v>57.3</v>
      </c>
      <c r="E60" s="8" t="s">
        <v>175</v>
      </c>
      <c r="F60" s="13">
        <v>3.4799999999999995</v>
      </c>
      <c r="G60" s="22">
        <v>12</v>
      </c>
    </row>
    <row r="61" spans="1:15" x14ac:dyDescent="0.3">
      <c r="A61" s="5" t="s">
        <v>349</v>
      </c>
      <c r="B61" s="22">
        <v>16</v>
      </c>
      <c r="C61" s="13">
        <v>20.32</v>
      </c>
      <c r="E61" s="8" t="s">
        <v>45</v>
      </c>
      <c r="F61" s="13">
        <v>50.4</v>
      </c>
      <c r="G61" s="22">
        <v>120</v>
      </c>
    </row>
    <row r="62" spans="1:15" x14ac:dyDescent="0.3">
      <c r="A62" s="6">
        <v>12446</v>
      </c>
      <c r="B62" s="22">
        <v>16</v>
      </c>
      <c r="C62" s="13">
        <v>20.32</v>
      </c>
      <c r="E62" s="8" t="s">
        <v>43</v>
      </c>
      <c r="F62" s="13">
        <v>50.4</v>
      </c>
      <c r="G62" s="22">
        <v>120</v>
      </c>
    </row>
    <row r="63" spans="1:15" x14ac:dyDescent="0.3">
      <c r="A63" s="5" t="s">
        <v>330</v>
      </c>
      <c r="B63" s="22">
        <v>12</v>
      </c>
      <c r="C63" s="13">
        <v>5.04</v>
      </c>
      <c r="E63" s="8" t="s">
        <v>103</v>
      </c>
      <c r="F63" s="13">
        <v>13.200000000000001</v>
      </c>
      <c r="G63" s="22">
        <v>24</v>
      </c>
    </row>
    <row r="64" spans="1:15" x14ac:dyDescent="0.3">
      <c r="A64" s="6">
        <v>12565</v>
      </c>
      <c r="B64" s="22">
        <v>12</v>
      </c>
      <c r="C64" s="13">
        <v>5.04</v>
      </c>
      <c r="E64" s="8" t="s">
        <v>31</v>
      </c>
      <c r="F64" s="13">
        <v>10.199999999999999</v>
      </c>
      <c r="G64" s="22">
        <v>12</v>
      </c>
    </row>
    <row r="65" spans="1:7" x14ac:dyDescent="0.3">
      <c r="A65" s="5" t="s">
        <v>323</v>
      </c>
      <c r="B65" s="22">
        <v>78</v>
      </c>
      <c r="C65" s="13">
        <v>43.620000000000005</v>
      </c>
      <c r="E65" s="8" t="s">
        <v>209</v>
      </c>
      <c r="F65" s="13">
        <v>15</v>
      </c>
      <c r="G65" s="22">
        <v>12</v>
      </c>
    </row>
    <row r="66" spans="1:7" x14ac:dyDescent="0.3">
      <c r="A66" s="6">
        <v>12744</v>
      </c>
      <c r="B66" s="22">
        <v>78</v>
      </c>
      <c r="C66" s="13">
        <v>43.620000000000005</v>
      </c>
      <c r="E66" s="8" t="s">
        <v>145</v>
      </c>
      <c r="F66" s="13">
        <v>59.4</v>
      </c>
      <c r="G66" s="22">
        <v>36</v>
      </c>
    </row>
    <row r="67" spans="1:7" x14ac:dyDescent="0.3">
      <c r="A67" s="5" t="s">
        <v>257</v>
      </c>
      <c r="B67" s="22">
        <v>230</v>
      </c>
      <c r="C67" s="13">
        <v>359.5</v>
      </c>
      <c r="E67" s="8" t="s">
        <v>39</v>
      </c>
      <c r="F67" s="13">
        <v>15</v>
      </c>
      <c r="G67" s="22">
        <v>1</v>
      </c>
    </row>
    <row r="68" spans="1:7" x14ac:dyDescent="0.3">
      <c r="A68" s="6">
        <v>12557</v>
      </c>
      <c r="B68" s="22">
        <v>230</v>
      </c>
      <c r="C68" s="13">
        <v>359.5</v>
      </c>
      <c r="E68" s="8" t="s">
        <v>113</v>
      </c>
      <c r="F68" s="13">
        <v>45</v>
      </c>
      <c r="G68" s="22">
        <v>36</v>
      </c>
    </row>
    <row r="69" spans="1:7" x14ac:dyDescent="0.3">
      <c r="A69" s="5" t="s">
        <v>305</v>
      </c>
      <c r="B69" s="22">
        <v>1056</v>
      </c>
      <c r="C69" s="13">
        <v>1487.04</v>
      </c>
      <c r="E69" s="8" t="s">
        <v>41</v>
      </c>
      <c r="F69" s="13">
        <v>81.599999999999994</v>
      </c>
      <c r="G69" s="22">
        <v>32</v>
      </c>
    </row>
    <row r="70" spans="1:7" x14ac:dyDescent="0.3">
      <c r="A70" s="6">
        <v>17404</v>
      </c>
      <c r="B70" s="22">
        <v>1056</v>
      </c>
      <c r="C70" s="13">
        <v>1487.04</v>
      </c>
      <c r="E70" s="8" t="s">
        <v>213</v>
      </c>
      <c r="F70" s="13">
        <v>19.899999999999999</v>
      </c>
      <c r="G70" s="22">
        <v>2</v>
      </c>
    </row>
    <row r="71" spans="1:7" x14ac:dyDescent="0.3">
      <c r="A71" s="5" t="s">
        <v>249</v>
      </c>
      <c r="B71" s="22">
        <v>90</v>
      </c>
      <c r="C71" s="13">
        <v>187.5</v>
      </c>
      <c r="E71" s="8" t="s">
        <v>37</v>
      </c>
      <c r="F71" s="13">
        <v>39.599999999999994</v>
      </c>
      <c r="G71" s="22">
        <v>24</v>
      </c>
    </row>
    <row r="72" spans="1:7" x14ac:dyDescent="0.3">
      <c r="A72" s="6">
        <v>13520</v>
      </c>
      <c r="B72" s="22">
        <v>90</v>
      </c>
      <c r="C72" s="13">
        <v>187.5</v>
      </c>
      <c r="E72" s="8" t="s">
        <v>83</v>
      </c>
      <c r="F72" s="13">
        <v>39.799999999999997</v>
      </c>
      <c r="G72" s="22">
        <v>4</v>
      </c>
    </row>
    <row r="73" spans="1:7" x14ac:dyDescent="0.3">
      <c r="A73" s="5" t="s">
        <v>327</v>
      </c>
      <c r="B73" s="22">
        <v>68</v>
      </c>
      <c r="C73" s="13">
        <v>159</v>
      </c>
      <c r="E73" s="8" t="s">
        <v>123</v>
      </c>
      <c r="F73" s="13">
        <v>15.299999999999999</v>
      </c>
      <c r="G73" s="22">
        <v>6</v>
      </c>
    </row>
    <row r="74" spans="1:7" x14ac:dyDescent="0.3">
      <c r="A74" s="6">
        <v>17829</v>
      </c>
      <c r="B74" s="22">
        <v>68</v>
      </c>
      <c r="C74" s="13">
        <v>159</v>
      </c>
      <c r="E74" s="8" t="s">
        <v>35</v>
      </c>
      <c r="F74" s="13">
        <v>88.5</v>
      </c>
      <c r="G74" s="22">
        <v>30</v>
      </c>
    </row>
    <row r="75" spans="1:7" x14ac:dyDescent="0.3">
      <c r="A75" s="5" t="s">
        <v>11</v>
      </c>
      <c r="B75" s="22">
        <v>80</v>
      </c>
      <c r="C75" s="13">
        <v>223.48000000000002</v>
      </c>
      <c r="E75" s="8" t="s">
        <v>267</v>
      </c>
      <c r="F75" s="13">
        <v>15</v>
      </c>
      <c r="G75" s="22">
        <v>12</v>
      </c>
    </row>
    <row r="76" spans="1:7" x14ac:dyDescent="0.3">
      <c r="A76" s="6">
        <v>16203</v>
      </c>
      <c r="B76" s="22">
        <v>54</v>
      </c>
      <c r="C76" s="13">
        <v>145.5</v>
      </c>
      <c r="E76" s="8" t="s">
        <v>117</v>
      </c>
      <c r="F76" s="13">
        <v>25.200000000000003</v>
      </c>
      <c r="G76" s="22">
        <v>12</v>
      </c>
    </row>
    <row r="77" spans="1:7" x14ac:dyDescent="0.3">
      <c r="A77" s="6">
        <v>17850</v>
      </c>
      <c r="B77" s="22">
        <v>26</v>
      </c>
      <c r="C77" s="13">
        <v>77.98</v>
      </c>
      <c r="E77" s="8" t="s">
        <v>207</v>
      </c>
      <c r="F77" s="13">
        <v>1188</v>
      </c>
      <c r="G77" s="22">
        <v>240</v>
      </c>
    </row>
    <row r="78" spans="1:7" x14ac:dyDescent="0.3">
      <c r="A78" s="5" t="s">
        <v>338</v>
      </c>
      <c r="B78" s="22">
        <v>54</v>
      </c>
      <c r="C78" s="13">
        <v>74.100000000000009</v>
      </c>
      <c r="E78" s="8" t="s">
        <v>61</v>
      </c>
      <c r="F78" s="13">
        <v>32.700000000000003</v>
      </c>
      <c r="G78" s="22">
        <v>6</v>
      </c>
    </row>
    <row r="79" spans="1:7" x14ac:dyDescent="0.3">
      <c r="A79" s="6">
        <v>12363</v>
      </c>
      <c r="B79" s="22">
        <v>54</v>
      </c>
      <c r="C79" s="13">
        <v>74.100000000000009</v>
      </c>
      <c r="E79" s="8" t="s">
        <v>79</v>
      </c>
      <c r="F79" s="13">
        <v>25.4</v>
      </c>
      <c r="G79" s="22">
        <v>4</v>
      </c>
    </row>
    <row r="80" spans="1:7" x14ac:dyDescent="0.3">
      <c r="A80" s="5" t="s">
        <v>342</v>
      </c>
      <c r="B80" s="22">
        <v>13</v>
      </c>
      <c r="C80" s="13">
        <v>39.85</v>
      </c>
      <c r="E80" s="8" t="s">
        <v>95</v>
      </c>
      <c r="F80" s="13">
        <v>17.700000000000003</v>
      </c>
      <c r="G80" s="22">
        <v>6</v>
      </c>
    </row>
    <row r="81" spans="1:7" x14ac:dyDescent="0.3">
      <c r="A81" s="6">
        <v>12733</v>
      </c>
      <c r="B81" s="22">
        <v>13</v>
      </c>
      <c r="C81" s="13">
        <v>39.85</v>
      </c>
      <c r="E81" s="8" t="s">
        <v>205</v>
      </c>
      <c r="F81" s="13">
        <v>15.299999999999999</v>
      </c>
      <c r="G81" s="22">
        <v>6</v>
      </c>
    </row>
    <row r="82" spans="1:7" x14ac:dyDescent="0.3">
      <c r="A82" s="5" t="s">
        <v>353</v>
      </c>
      <c r="B82" s="22">
        <v>3748</v>
      </c>
      <c r="C82" s="13">
        <v>6292.97</v>
      </c>
      <c r="E82" s="8" t="s">
        <v>239</v>
      </c>
      <c r="F82" s="13">
        <v>17</v>
      </c>
      <c r="G82" s="22">
        <v>4</v>
      </c>
    </row>
    <row r="83" spans="1:7" x14ac:dyDescent="0.3">
      <c r="E83" s="8" t="s">
        <v>271</v>
      </c>
      <c r="F83" s="13">
        <v>15</v>
      </c>
      <c r="G83" s="22">
        <v>12</v>
      </c>
    </row>
    <row r="84" spans="1:7" x14ac:dyDescent="0.3">
      <c r="E84" s="8" t="s">
        <v>244</v>
      </c>
      <c r="F84" s="13">
        <v>12.5</v>
      </c>
      <c r="G84" s="22">
        <v>10</v>
      </c>
    </row>
    <row r="85" spans="1:7" x14ac:dyDescent="0.3">
      <c r="E85" s="8" t="s">
        <v>246</v>
      </c>
      <c r="F85" s="13">
        <v>12.5</v>
      </c>
      <c r="G85" s="22">
        <v>10</v>
      </c>
    </row>
    <row r="86" spans="1:7" x14ac:dyDescent="0.3">
      <c r="E86" s="8" t="s">
        <v>91</v>
      </c>
      <c r="F86" s="13">
        <v>30</v>
      </c>
      <c r="G86" s="22">
        <v>24</v>
      </c>
    </row>
    <row r="87" spans="1:7" x14ac:dyDescent="0.3">
      <c r="E87" s="8" t="s">
        <v>181</v>
      </c>
      <c r="F87" s="13">
        <v>15</v>
      </c>
      <c r="G87" s="22">
        <v>12</v>
      </c>
    </row>
    <row r="88" spans="1:7" x14ac:dyDescent="0.3">
      <c r="E88" s="8" t="s">
        <v>33</v>
      </c>
      <c r="F88" s="13">
        <v>15</v>
      </c>
      <c r="G88" s="22">
        <v>12</v>
      </c>
    </row>
    <row r="89" spans="1:7" x14ac:dyDescent="0.3">
      <c r="E89" s="8" t="s">
        <v>151</v>
      </c>
      <c r="F89" s="13">
        <v>17.700000000000003</v>
      </c>
      <c r="G89" s="22">
        <v>6</v>
      </c>
    </row>
    <row r="90" spans="1:7" x14ac:dyDescent="0.3">
      <c r="E90" s="8" t="s">
        <v>57</v>
      </c>
      <c r="F90" s="13">
        <v>15</v>
      </c>
      <c r="G90" s="22">
        <v>4</v>
      </c>
    </row>
    <row r="91" spans="1:7" x14ac:dyDescent="0.3">
      <c r="E91" s="8" t="s">
        <v>77</v>
      </c>
      <c r="F91" s="13">
        <v>39.6</v>
      </c>
      <c r="G91" s="22">
        <v>8</v>
      </c>
    </row>
    <row r="92" spans="1:7" x14ac:dyDescent="0.3">
      <c r="E92" s="8" t="s">
        <v>10</v>
      </c>
      <c r="F92" s="13">
        <v>178.5</v>
      </c>
      <c r="G92" s="22">
        <v>70</v>
      </c>
    </row>
    <row r="93" spans="1:7" x14ac:dyDescent="0.3">
      <c r="E93" s="8" t="s">
        <v>13</v>
      </c>
      <c r="F93" s="13">
        <v>20.34</v>
      </c>
      <c r="G93" s="22">
        <v>6</v>
      </c>
    </row>
    <row r="94" spans="1:7" x14ac:dyDescent="0.3">
      <c r="E94" s="8" t="s">
        <v>67</v>
      </c>
      <c r="F94" s="13">
        <v>180</v>
      </c>
      <c r="G94" s="22">
        <v>48</v>
      </c>
    </row>
    <row r="95" spans="1:7" x14ac:dyDescent="0.3">
      <c r="E95" s="8" t="s">
        <v>229</v>
      </c>
      <c r="F95" s="13">
        <v>13.2</v>
      </c>
      <c r="G95" s="22">
        <v>8</v>
      </c>
    </row>
    <row r="96" spans="1:7" x14ac:dyDescent="0.3">
      <c r="E96" s="8" t="s">
        <v>237</v>
      </c>
      <c r="F96" s="13">
        <v>167.04</v>
      </c>
      <c r="G96" s="22">
        <v>576</v>
      </c>
    </row>
    <row r="97" spans="5:7" x14ac:dyDescent="0.3">
      <c r="E97" s="11" t="s">
        <v>51</v>
      </c>
      <c r="F97" s="13">
        <v>20.28</v>
      </c>
      <c r="G97" s="22">
        <v>12</v>
      </c>
    </row>
    <row r="98" spans="5:7" x14ac:dyDescent="0.3">
      <c r="E98" s="5" t="s">
        <v>376</v>
      </c>
      <c r="F98" s="13">
        <v>1319.2300000000002</v>
      </c>
      <c r="G98" s="22">
        <v>679</v>
      </c>
    </row>
    <row r="99" spans="5:7" x14ac:dyDescent="0.3">
      <c r="E99" s="6" t="s">
        <v>377</v>
      </c>
      <c r="F99" s="13">
        <v>788.8599999999999</v>
      </c>
      <c r="G99" s="22">
        <v>494</v>
      </c>
    </row>
    <row r="100" spans="5:7" x14ac:dyDescent="0.3">
      <c r="E100" s="7" t="s">
        <v>378</v>
      </c>
      <c r="F100" s="13">
        <v>419.7</v>
      </c>
      <c r="G100" s="22">
        <v>258</v>
      </c>
    </row>
    <row r="101" spans="5:7" x14ac:dyDescent="0.3">
      <c r="E101" s="8" t="s">
        <v>125</v>
      </c>
      <c r="F101" s="13">
        <v>75</v>
      </c>
      <c r="G101" s="22">
        <v>60</v>
      </c>
    </row>
    <row r="102" spans="5:7" x14ac:dyDescent="0.3">
      <c r="E102" s="8" t="s">
        <v>211</v>
      </c>
      <c r="F102" s="13">
        <v>20.28</v>
      </c>
      <c r="G102" s="22">
        <v>12</v>
      </c>
    </row>
    <row r="103" spans="5:7" x14ac:dyDescent="0.3">
      <c r="E103" s="8" t="s">
        <v>298</v>
      </c>
      <c r="F103" s="13">
        <v>22.5</v>
      </c>
      <c r="G103" s="22">
        <v>6</v>
      </c>
    </row>
    <row r="104" spans="5:7" x14ac:dyDescent="0.3">
      <c r="E104" s="8" t="s">
        <v>49</v>
      </c>
      <c r="F104" s="13">
        <v>22.5</v>
      </c>
      <c r="G104" s="22">
        <v>6</v>
      </c>
    </row>
    <row r="105" spans="5:7" x14ac:dyDescent="0.3">
      <c r="E105" s="8" t="s">
        <v>167</v>
      </c>
      <c r="F105" s="13">
        <v>25.919999999999998</v>
      </c>
      <c r="G105" s="22">
        <v>72</v>
      </c>
    </row>
    <row r="106" spans="5:7" x14ac:dyDescent="0.3">
      <c r="E106" s="8" t="s">
        <v>159</v>
      </c>
      <c r="F106" s="13">
        <v>78.900000000000006</v>
      </c>
      <c r="G106" s="22">
        <v>30</v>
      </c>
    </row>
    <row r="107" spans="5:7" x14ac:dyDescent="0.3">
      <c r="E107" s="8" t="s">
        <v>203</v>
      </c>
      <c r="F107" s="13">
        <v>17.399999999999999</v>
      </c>
      <c r="G107" s="22">
        <v>12</v>
      </c>
    </row>
    <row r="108" spans="5:7" x14ac:dyDescent="0.3">
      <c r="E108" s="8" t="s">
        <v>179</v>
      </c>
      <c r="F108" s="13">
        <v>25.200000000000003</v>
      </c>
      <c r="G108" s="22">
        <v>12</v>
      </c>
    </row>
    <row r="109" spans="5:7" x14ac:dyDescent="0.3">
      <c r="E109" s="8" t="s">
        <v>157</v>
      </c>
      <c r="F109" s="13">
        <v>61.199999999999996</v>
      </c>
      <c r="G109" s="22">
        <v>24</v>
      </c>
    </row>
    <row r="110" spans="5:7" x14ac:dyDescent="0.3">
      <c r="E110" s="8" t="s">
        <v>317</v>
      </c>
      <c r="F110" s="13">
        <v>70.800000000000011</v>
      </c>
      <c r="G110" s="22">
        <v>24</v>
      </c>
    </row>
    <row r="111" spans="5:7" x14ac:dyDescent="0.3">
      <c r="E111" s="7" t="s">
        <v>379</v>
      </c>
      <c r="F111" s="13">
        <v>305.33999999999997</v>
      </c>
      <c r="G111" s="22">
        <v>206</v>
      </c>
    </row>
    <row r="112" spans="5:7" x14ac:dyDescent="0.3">
      <c r="E112" s="8" t="s">
        <v>165</v>
      </c>
      <c r="F112" s="13">
        <v>23.4</v>
      </c>
      <c r="G112" s="22">
        <v>12</v>
      </c>
    </row>
    <row r="113" spans="5:7" x14ac:dyDescent="0.3">
      <c r="E113" s="8" t="s">
        <v>69</v>
      </c>
      <c r="F113" s="13">
        <v>5.04</v>
      </c>
      <c r="G113" s="22">
        <v>12</v>
      </c>
    </row>
    <row r="114" spans="5:7" x14ac:dyDescent="0.3">
      <c r="E114" s="8" t="s">
        <v>288</v>
      </c>
      <c r="F114" s="13">
        <v>45.9</v>
      </c>
      <c r="G114" s="22">
        <v>18</v>
      </c>
    </row>
    <row r="115" spans="5:7" x14ac:dyDescent="0.3">
      <c r="E115" s="8" t="s">
        <v>63</v>
      </c>
      <c r="F115" s="13">
        <v>31.200000000000003</v>
      </c>
      <c r="G115" s="22">
        <v>48</v>
      </c>
    </row>
    <row r="116" spans="5:7" x14ac:dyDescent="0.3">
      <c r="E116" s="8" t="s">
        <v>183</v>
      </c>
      <c r="F116" s="13">
        <v>15.9</v>
      </c>
      <c r="G116" s="22">
        <v>2</v>
      </c>
    </row>
    <row r="117" spans="5:7" x14ac:dyDescent="0.3">
      <c r="E117" s="8" t="s">
        <v>217</v>
      </c>
      <c r="F117" s="13">
        <v>20.399999999999999</v>
      </c>
      <c r="G117" s="22">
        <v>24</v>
      </c>
    </row>
    <row r="118" spans="5:7" x14ac:dyDescent="0.3">
      <c r="E118" s="8" t="s">
        <v>93</v>
      </c>
      <c r="F118" s="13">
        <v>61.199999999999996</v>
      </c>
      <c r="G118" s="22">
        <v>24</v>
      </c>
    </row>
    <row r="119" spans="5:7" x14ac:dyDescent="0.3">
      <c r="E119" s="8" t="s">
        <v>203</v>
      </c>
      <c r="F119" s="13">
        <v>17.399999999999999</v>
      </c>
      <c r="G119" s="22">
        <v>12</v>
      </c>
    </row>
    <row r="120" spans="5:7" x14ac:dyDescent="0.3">
      <c r="E120" s="8" t="s">
        <v>85</v>
      </c>
      <c r="F120" s="13">
        <v>29.700000000000003</v>
      </c>
      <c r="G120" s="22">
        <v>6</v>
      </c>
    </row>
    <row r="121" spans="5:7" x14ac:dyDescent="0.3">
      <c r="E121" s="8" t="s">
        <v>255</v>
      </c>
      <c r="F121" s="13">
        <v>20.399999999999999</v>
      </c>
      <c r="G121" s="22">
        <v>24</v>
      </c>
    </row>
    <row r="122" spans="5:7" x14ac:dyDescent="0.3">
      <c r="E122" s="8" t="s">
        <v>149</v>
      </c>
      <c r="F122" s="13">
        <v>34.799999999999997</v>
      </c>
      <c r="G122" s="22">
        <v>24</v>
      </c>
    </row>
    <row r="123" spans="5:7" x14ac:dyDescent="0.3">
      <c r="E123" s="7" t="s">
        <v>380</v>
      </c>
      <c r="F123" s="13">
        <v>63.82</v>
      </c>
      <c r="G123" s="22">
        <v>30</v>
      </c>
    </row>
    <row r="124" spans="5:7" x14ac:dyDescent="0.3">
      <c r="E124" s="8" t="s">
        <v>19</v>
      </c>
      <c r="F124" s="13">
        <v>13.52</v>
      </c>
      <c r="G124" s="22">
        <v>8</v>
      </c>
    </row>
    <row r="125" spans="5:7" x14ac:dyDescent="0.3">
      <c r="E125" s="8" t="s">
        <v>251</v>
      </c>
      <c r="F125" s="13">
        <v>23.4</v>
      </c>
      <c r="G125" s="22">
        <v>12</v>
      </c>
    </row>
    <row r="126" spans="5:7" x14ac:dyDescent="0.3">
      <c r="E126" s="8" t="s">
        <v>296</v>
      </c>
      <c r="F126" s="13">
        <v>17</v>
      </c>
      <c r="G126" s="22">
        <v>4</v>
      </c>
    </row>
    <row r="127" spans="5:7" x14ac:dyDescent="0.3">
      <c r="E127" s="8" t="s">
        <v>201</v>
      </c>
      <c r="F127" s="13">
        <v>9.8999999999999986</v>
      </c>
      <c r="G127" s="22">
        <v>6</v>
      </c>
    </row>
    <row r="128" spans="5:7" x14ac:dyDescent="0.3">
      <c r="E128" s="6" t="s">
        <v>381</v>
      </c>
      <c r="F128" s="13">
        <v>510.04999999999995</v>
      </c>
      <c r="G128" s="22">
        <v>169</v>
      </c>
    </row>
    <row r="129" spans="5:7" x14ac:dyDescent="0.3">
      <c r="E129" s="7" t="s">
        <v>382</v>
      </c>
      <c r="F129" s="13">
        <v>414.79999999999995</v>
      </c>
      <c r="G129" s="22">
        <v>118</v>
      </c>
    </row>
    <row r="130" spans="5:7" x14ac:dyDescent="0.3">
      <c r="E130" s="8" t="s">
        <v>59</v>
      </c>
      <c r="F130" s="13">
        <v>14.95</v>
      </c>
      <c r="G130" s="22">
        <v>1</v>
      </c>
    </row>
    <row r="131" spans="5:7" x14ac:dyDescent="0.3">
      <c r="E131" s="8" t="s">
        <v>290</v>
      </c>
      <c r="F131" s="13">
        <v>15.9</v>
      </c>
      <c r="G131" s="22">
        <v>2</v>
      </c>
    </row>
    <row r="132" spans="5:7" x14ac:dyDescent="0.3">
      <c r="E132" s="11" t="s">
        <v>119</v>
      </c>
      <c r="F132" s="13">
        <v>15.9</v>
      </c>
      <c r="G132" s="22">
        <v>2</v>
      </c>
    </row>
    <row r="133" spans="5:7" x14ac:dyDescent="0.3">
      <c r="E133" s="8" t="s">
        <v>281</v>
      </c>
      <c r="F133" s="13">
        <v>15.9</v>
      </c>
      <c r="G133" s="22">
        <v>2</v>
      </c>
    </row>
    <row r="134" spans="5:7" x14ac:dyDescent="0.3">
      <c r="E134" s="8" t="s">
        <v>65</v>
      </c>
      <c r="F134" s="13">
        <v>17.700000000000003</v>
      </c>
      <c r="G134" s="22">
        <v>6</v>
      </c>
    </row>
    <row r="135" spans="5:7" x14ac:dyDescent="0.3">
      <c r="E135" s="8" t="s">
        <v>45</v>
      </c>
      <c r="F135" s="13">
        <v>13.200000000000001</v>
      </c>
      <c r="G135" s="22">
        <v>24</v>
      </c>
    </row>
    <row r="136" spans="5:7" x14ac:dyDescent="0.3">
      <c r="E136" s="8" t="s">
        <v>103</v>
      </c>
      <c r="F136" s="13">
        <v>13.200000000000001</v>
      </c>
      <c r="G136" s="22">
        <v>24</v>
      </c>
    </row>
    <row r="137" spans="5:7" x14ac:dyDescent="0.3">
      <c r="E137" s="8" t="s">
        <v>334</v>
      </c>
      <c r="F137" s="13">
        <v>2.9</v>
      </c>
      <c r="G137" s="22">
        <v>2</v>
      </c>
    </row>
    <row r="138" spans="5:7" x14ac:dyDescent="0.3">
      <c r="E138" s="8" t="s">
        <v>153</v>
      </c>
      <c r="F138" s="13">
        <v>175.2</v>
      </c>
      <c r="G138" s="22">
        <v>16</v>
      </c>
    </row>
    <row r="139" spans="5:7" x14ac:dyDescent="0.3">
      <c r="E139" s="8" t="s">
        <v>157</v>
      </c>
      <c r="F139" s="13">
        <v>61.199999999999996</v>
      </c>
      <c r="G139" s="22">
        <v>24</v>
      </c>
    </row>
    <row r="140" spans="5:7" x14ac:dyDescent="0.3">
      <c r="E140" s="8" t="s">
        <v>233</v>
      </c>
      <c r="F140" s="13">
        <v>15.9</v>
      </c>
      <c r="G140" s="22">
        <v>2</v>
      </c>
    </row>
    <row r="141" spans="5:7" x14ac:dyDescent="0.3">
      <c r="E141" s="8" t="s">
        <v>241</v>
      </c>
      <c r="F141" s="13">
        <v>15.9</v>
      </c>
      <c r="G141" s="22">
        <v>2</v>
      </c>
    </row>
    <row r="142" spans="5:7" x14ac:dyDescent="0.3">
      <c r="E142" s="8" t="s">
        <v>302</v>
      </c>
      <c r="F142" s="13">
        <v>4.95</v>
      </c>
      <c r="G142" s="22">
        <v>1</v>
      </c>
    </row>
    <row r="143" spans="5:7" x14ac:dyDescent="0.3">
      <c r="E143" s="8" t="s">
        <v>253</v>
      </c>
      <c r="F143" s="13">
        <v>4.3499999999999996</v>
      </c>
      <c r="G143" s="22">
        <v>3</v>
      </c>
    </row>
    <row r="144" spans="5:7" x14ac:dyDescent="0.3">
      <c r="E144" s="8" t="s">
        <v>300</v>
      </c>
      <c r="F144" s="13">
        <v>27.650000000000002</v>
      </c>
      <c r="G144" s="22">
        <v>7</v>
      </c>
    </row>
    <row r="145" spans="5:7" x14ac:dyDescent="0.3">
      <c r="E145" s="7" t="s">
        <v>383</v>
      </c>
      <c r="F145" s="13">
        <v>30</v>
      </c>
      <c r="G145" s="22">
        <v>24</v>
      </c>
    </row>
    <row r="146" spans="5:7" x14ac:dyDescent="0.3">
      <c r="E146" s="8" t="s">
        <v>283</v>
      </c>
      <c r="F146" s="13">
        <v>30</v>
      </c>
      <c r="G146" s="22">
        <v>24</v>
      </c>
    </row>
    <row r="147" spans="5:7" x14ac:dyDescent="0.3">
      <c r="E147" s="7" t="s">
        <v>384</v>
      </c>
      <c r="F147" s="13">
        <v>65.25</v>
      </c>
      <c r="G147" s="22">
        <v>27</v>
      </c>
    </row>
    <row r="148" spans="5:7" x14ac:dyDescent="0.3">
      <c r="E148" s="8" t="s">
        <v>155</v>
      </c>
      <c r="F148" s="13">
        <v>14.850000000000001</v>
      </c>
      <c r="G148" s="22">
        <v>3</v>
      </c>
    </row>
    <row r="149" spans="5:7" x14ac:dyDescent="0.3">
      <c r="E149" s="8" t="s">
        <v>41</v>
      </c>
      <c r="F149" s="13">
        <v>17.700000000000003</v>
      </c>
      <c r="G149" s="22">
        <v>6</v>
      </c>
    </row>
    <row r="150" spans="5:7" x14ac:dyDescent="0.3">
      <c r="E150" s="8" t="s">
        <v>101</v>
      </c>
      <c r="F150" s="13">
        <v>15</v>
      </c>
      <c r="G150" s="22">
        <v>12</v>
      </c>
    </row>
    <row r="151" spans="5:7" x14ac:dyDescent="0.3">
      <c r="E151" s="8" t="s">
        <v>10</v>
      </c>
      <c r="F151" s="13">
        <v>17.700000000000003</v>
      </c>
      <c r="G151" s="22">
        <v>6</v>
      </c>
    </row>
    <row r="152" spans="5:7" x14ac:dyDescent="0.3">
      <c r="E152" s="6" t="s">
        <v>362</v>
      </c>
      <c r="F152" s="13">
        <v>20.32</v>
      </c>
      <c r="G152" s="22">
        <v>16</v>
      </c>
    </row>
    <row r="153" spans="5:7" x14ac:dyDescent="0.3">
      <c r="E153" s="7" t="s">
        <v>385</v>
      </c>
      <c r="F153" s="13">
        <v>20.32</v>
      </c>
      <c r="G153" s="22">
        <v>16</v>
      </c>
    </row>
    <row r="154" spans="5:7" x14ac:dyDescent="0.3">
      <c r="E154" s="8" t="s">
        <v>133</v>
      </c>
      <c r="F154" s="13">
        <v>13.52</v>
      </c>
      <c r="G154" s="22">
        <v>8</v>
      </c>
    </row>
    <row r="155" spans="5:7" x14ac:dyDescent="0.3">
      <c r="E155" s="8" t="s">
        <v>215</v>
      </c>
      <c r="F155" s="13">
        <v>6.8</v>
      </c>
      <c r="G155" s="22">
        <v>8</v>
      </c>
    </row>
    <row r="156" spans="5:7" x14ac:dyDescent="0.3">
      <c r="E156" s="11" t="s">
        <v>353</v>
      </c>
      <c r="F156" s="13">
        <v>6292.9699999999921</v>
      </c>
      <c r="G156" s="22">
        <v>3748</v>
      </c>
    </row>
  </sheetData>
  <mergeCells count="5">
    <mergeCell ref="N14:O14"/>
    <mergeCell ref="I1:K1"/>
    <mergeCell ref="A1:C1"/>
    <mergeCell ref="E1:G1"/>
    <mergeCell ref="N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14E75-0A6C-4355-8CBB-789EAAF869DD}">
  <dimension ref="A1:AC4"/>
  <sheetViews>
    <sheetView tabSelected="1" zoomScale="62" workbookViewId="0">
      <selection activeCell="AE28" sqref="AE28"/>
    </sheetView>
  </sheetViews>
  <sheetFormatPr defaultRowHeight="14.4" x14ac:dyDescent="0.3"/>
  <cols>
    <col min="1" max="16384" width="8.88671875" style="16"/>
  </cols>
  <sheetData>
    <row r="1" spans="1:29" ht="14.4" customHeight="1" x14ac:dyDescent="0.3">
      <c r="A1" s="21" t="s">
        <v>375</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row>
    <row r="2" spans="1:29" ht="14.4" customHeight="1"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row>
    <row r="3" spans="1:29" ht="14.4" customHeight="1" x14ac:dyDescent="0.3">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row>
    <row r="4" spans="1:29" x14ac:dyDescent="0.3">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row>
  </sheetData>
  <mergeCells count="1">
    <mergeCell ref="A1:AC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F6C4B2-92A6-4ABC-ADA4-3AC24A6769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Online-Retail-Dataset</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uzair ansari</dc:creator>
  <cp:lastModifiedBy>uzair ansari</cp:lastModifiedBy>
  <dcterms:created xsi:type="dcterms:W3CDTF">2026-07-12T05:57:00Z</dcterms:created>
  <dcterms:modified xsi:type="dcterms:W3CDTF">2026-07-18T05:22:11Z</dcterms:modified>
</cp:coreProperties>
</file>